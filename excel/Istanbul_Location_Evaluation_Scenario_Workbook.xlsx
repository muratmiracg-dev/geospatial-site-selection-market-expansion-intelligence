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4233de6f4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7a4ee315e0e4402"/>
    <x:sheet xmlns:r="http://schemas.openxmlformats.org/officeDocument/2006/relationships" name="Location Evaluation" sheetId="2" r:id="R9a75324e4ede4858"/>
    <x:sheet xmlns:r="http://schemas.openxmlformats.org/officeDocument/2006/relationships" name="Scenario Planner" sheetId="3" r:id="Rbe1aa068605c41e2"/>
    <x:sheet xmlns:r="http://schemas.openxmlformats.org/officeDocument/2006/relationships" name="Weights" sheetId="4" r:id="R9e266df2ca01488d"/>
    <x:sheet xmlns:r="http://schemas.openxmlformats.org/officeDocument/2006/relationships" name="Candidates" sheetId="5" r:id="Rcdc10c02b7334365"/>
    <x:sheet xmlns:r="http://schemas.openxmlformats.org/officeDocument/2006/relationships" name="Scenarios" sheetId="6" r:id="R5c1bcc9c058c45c6"/>
    <x:sheet xmlns:r="http://schemas.openxmlformats.org/officeDocument/2006/relationships" name="Accessibility" sheetId="7" r:id="Rf38f071bb62c4070"/>
    <x:sheet xmlns:r="http://schemas.openxmlformats.org/officeDocument/2006/relationships" name="SHAP Explanations" sheetId="8" r:id="R50efea2418f9432e"/>
    <x:sheet xmlns:r="http://schemas.openxmlformats.org/officeDocument/2006/relationships" name="Sources &amp; License" sheetId="9" r:id="Rd4bcbdf6ccda45f0"/>
  </x:sheets>
</x:workbook>
</file>

<file path=xl/comments1.xml><?xml version="1.0" encoding="utf-8"?>
<x:comments xmlns:x="http://schemas.openxmlformats.org/spreadsheetml/2006/main">
  <x:authors>
    <x:author>tc={4335D46C-628F-968F-A985-2392D8A722F5}</x:author>
    <x:author>tc={B0F24520-CF94-69DA-EE03-15259FC893AC}</x:author>
    <x:author>tc={8B970B8E-0A3F-EC41-2657-F70DECFF11EF}</x:author>
    <x:author>tc={38811E38-273E-3521-65CF-22CC463BCA02}</x:author>
    <x:author>tc={45B350A7-4EDA-39A8-ED8F-7DD3E33ECA0B}</x:author>
    <x:author>tc={CA6E8CA1-EF30-32EE-7808-A0043D3D41A0}</x:author>
    <x:author>tc={EA92359C-2DC3-C828-E5BE-1BB081BA3579}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Audit source recorded by Murat Miraç Gedik. Access date: 2026-07-29.</x:t>
        </x:r>
      </x:text>
    </x:comment>
    <x:comment ref="F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Audit source recorded by Murat Miraç Gedik. Access date: 2026-07-29.</x:t>
        </x:r>
      </x:text>
    </x:comment>
    <x:comment ref="F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Audit source recorded by Murat Miraç Gedik. Access date: 2026-07-29.</x:t>
        </x:r>
      </x:text>
    </x:comment>
    <x:comment ref="F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Audit source recorded by Murat Miraç Gedik. Access date: 2026-07-29.</x:t>
        </x:r>
      </x:text>
    </x:comment>
    <x:comment ref="F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Audit source recorded by Murat Miraç Gedik. Access date: 2026-07-29.</x:t>
        </x:r>
      </x:text>
    </x:comment>
    <x:comment ref="F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Audit source recorded by Murat Miraç Gedik. Access date: 2026-07-29.</x:t>
        </x:r>
      </x:text>
    </x:comment>
    <x:comment ref="F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Audit source recorded by Murat Miraç Gedik. Access date: 2026-07-29.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"/>
    <x:numFmt numFmtId="202" formatCode="#,##0"/>
    <x:numFmt numFmtId="203" formatCode="&quot;TRY &quot;0.0&quot;m&quot;"/>
    <x:numFmt numFmtId="204" formatCode="0.000"/>
    <x:numFmt numFmtId="205" formatCode="0%"/>
    <x:numFmt numFmtId="206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0B3954"/>
      <x:name val="Carlito"/>
    </x:font>
    <x:font>
      <x:b/>
      <x:sz val="18"/>
      <x:color rgb="FF0B39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EAF2F3"/>
      </x:patternFill>
    </x:fill>
    <x:fill>
      <x:patternFill patternType="solid">
        <x:fgColor rgb="FF2A9D8F"/>
      </x:patternFill>
    </x:fill>
    <x:fill>
      <x:patternFill patternType="solid">
        <x:fgColor rgb="FFDDEBFF"/>
      </x:patternFill>
    </x:fill>
    <x:fill>
      <x:patternFill patternType="solid">
        <x:fgColor rgb="FFFFFFFF"/>
      </x:patternFill>
    </x:fill>
  </x:fills>
  <x:borders count="20">
    <x:border/>
    <x:border>
      <x:left style="thin">
        <x:color rgb="FF0B3954"/>
      </x:left>
      <x:top style="thin">
        <x:color rgb="FF0B3954"/>
      </x:top>
      <x:bottom style="thin">
        <x:color rgb="FF0B3954"/>
      </x:bottom>
    </x:border>
    <x:border>
      <x:top style="thin">
        <x:color rgb="FF0B3954"/>
      </x:top>
      <x:bottom style="thin">
        <x:color rgb="FF0B3954"/>
      </x:bottom>
    </x:border>
    <x:border>
      <x:right style="thin">
        <x:color rgb="FF0B3954"/>
      </x:right>
      <x:top style="thin">
        <x:color rgb="FF0B3954"/>
      </x:top>
      <x:bottom style="thin">
        <x:color rgb="FF0B3954"/>
      </x:bottom>
    </x:border>
    <x:border>
      <x:left style="medium">
        <x:color rgb="FF2A9D8F"/>
      </x:left>
      <x:top style="medium">
        <x:color rgb="FF2A9D8F"/>
      </x:top>
    </x:border>
    <x:border>
      <x:top style="medium">
        <x:color rgb="FF2A9D8F"/>
      </x:top>
    </x:border>
    <x:border>
      <x:right style="medium">
        <x:color rgb="FF2A9D8F"/>
      </x:right>
      <x:top style="medium">
        <x:color rgb="FF2A9D8F"/>
      </x:top>
    </x:border>
    <x:border>
      <x:left style="medium">
        <x:color rgb="FF2A9D8F"/>
      </x:left>
    </x:border>
    <x:border>
      <x:right style="medium">
        <x:color rgb="FF2A9D8F"/>
      </x:right>
    </x:border>
    <x:border>
      <x:left style="medium">
        <x:color rgb="FF2A9D8F"/>
      </x:left>
      <x:bottom style="medium">
        <x:color rgb="FF2A9D8F"/>
      </x:bottom>
    </x:border>
    <x:border>
      <x:bottom style="medium">
        <x:color rgb="FF2A9D8F"/>
      </x:bottom>
    </x:border>
    <x:border>
      <x:right style="medium">
        <x:color rgb="FF2A9D8F"/>
      </x:right>
      <x:bottom style="medium">
        <x:color rgb="FF2A9D8F"/>
      </x:bottom>
    </x:border>
    <x:border>
      <x:left style="thin">
        <x:color rgb="FFDCE8EA"/>
      </x:left>
      <x:top style="thin">
        <x:color rgb="FFDCE8EA"/>
      </x:top>
    </x:border>
    <x:border>
      <x:top style="thin">
        <x:color rgb="FFDCE8EA"/>
      </x:top>
    </x:border>
    <x:border>
      <x:right style="thin">
        <x:color rgb="FFDCE8EA"/>
      </x:right>
      <x:top style="thin">
        <x:color rgb="FFDCE8EA"/>
      </x:top>
    </x:border>
    <x:border>
      <x:left style="thin">
        <x:color rgb="FFDCE8EA"/>
      </x:left>
    </x:border>
    <x:border>
      <x:right style="thin">
        <x:color rgb="FFDCE8EA"/>
      </x:right>
    </x:border>
    <x:border>
      <x:left style="thin">
        <x:color rgb="FFDCE8EA"/>
      </x:left>
      <x:bottom style="thin">
        <x:color rgb="FFDCE8EA"/>
      </x:bottom>
    </x:border>
    <x:border>
      <x:bottom style="thin">
        <x:color rgb="FFDCE8EA"/>
      </x:bottom>
    </x:border>
    <x:border>
      <x:right style="thin">
        <x:color rgb="FFDCE8EA"/>
      </x:right>
      <x:bottom style="thin">
        <x:color rgb="FFDCE8EA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5" fillId="6" borderId="1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201" fontId="5" fillId="6" borderId="4" xfId="0" applyNumberFormat="1" applyFont="1" applyFill="1" applyBorder="1" applyAlignment="1">
      <x:alignment horizontal="center" vertical="center"/>
    </x:xf>
    <x:xf numFmtId="201" fontId="5" fillId="6" borderId="5" xfId="0" applyNumberFormat="1" applyFont="1" applyFill="1" applyBorder="1" applyAlignment="1">
      <x:alignment horizontal="center" vertical="center"/>
    </x:xf>
    <x:xf numFmtId="201" fontId="5" fillId="6" borderId="6" xfId="0" applyNumberFormat="1" applyFont="1" applyFill="1" applyBorder="1" applyAlignment="1">
      <x:alignment horizontal="center" vertical="center"/>
    </x:xf>
    <x:xf numFmtId="201" fontId="5" fillId="6" borderId="7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8" xfId="0" applyNumberFormat="1" applyFont="1" applyFill="1" applyBorder="1" applyAlignment="1">
      <x:alignment horizontal="center" vertical="center"/>
    </x:xf>
    <x:xf numFmtId="201" fontId="5" fillId="6" borderId="9" xfId="0" applyNumberFormat="1" applyFont="1" applyFill="1" applyBorder="1" applyAlignment="1">
      <x:alignment horizontal="center" vertical="center"/>
    </x:xf>
    <x:xf numFmtId="201" fontId="5" fillId="6" borderId="10" xfId="0" applyNumberFormat="1" applyFont="1" applyFill="1" applyBorder="1" applyAlignment="1">
      <x:alignment horizontal="center" vertical="center"/>
    </x:xf>
    <x:xf numFmtId="201" fontId="5" fillId="6" borderId="11" xfId="0" applyNumberFormat="1" applyFont="1" applyFill="1" applyBorder="1" applyAlignment="1">
      <x:alignment horizontal="center" vertical="center"/>
    </x:xf>
    <x:xf numFmtId="206" fontId="5" fillId="6" borderId="4" xfId="0" applyNumberFormat="1" applyFont="1" applyFill="1" applyBorder="1" applyAlignment="1">
      <x:alignment horizontal="center" vertical="center"/>
    </x:xf>
    <x:xf numFmtId="206" fontId="5" fillId="6" borderId="5" xfId="0" applyNumberFormat="1" applyFont="1" applyFill="1" applyBorder="1" applyAlignment="1">
      <x:alignment horizontal="center" vertical="center"/>
    </x:xf>
    <x:xf numFmtId="206" fontId="5" fillId="6" borderId="6" xfId="0" applyNumberFormat="1" applyFont="1" applyFill="1" applyBorder="1" applyAlignment="1">
      <x:alignment horizontal="center" vertical="center"/>
    </x:xf>
    <x:xf numFmtId="206" fontId="5" fillId="6" borderId="7" xfId="0" applyNumberFormat="1" applyFont="1" applyFill="1" applyBorder="1" applyAlignment="1">
      <x:alignment horizontal="center" vertical="center"/>
    </x:xf>
    <x:xf numFmtId="206" fontId="5" fillId="6" borderId="0" xfId="0" applyNumberFormat="1" applyFont="1" applyFill="1" applyBorder="1" applyAlignment="1">
      <x:alignment horizontal="center" vertical="center"/>
    </x:xf>
    <x:xf numFmtId="206" fontId="5" fillId="6" borderId="8" xfId="0" applyNumberFormat="1" applyFont="1" applyFill="1" applyBorder="1" applyAlignment="1">
      <x:alignment horizontal="center" vertical="center"/>
    </x:xf>
    <x:xf numFmtId="206" fontId="5" fillId="6" borderId="9" xfId="0" applyNumberFormat="1" applyFont="1" applyFill="1" applyBorder="1" applyAlignment="1">
      <x:alignment horizontal="center" vertical="center"/>
    </x:xf>
    <x:xf numFmtId="206" fontId="5" fillId="6" borderId="10" xfId="0" applyNumberFormat="1" applyFont="1" applyFill="1" applyBorder="1" applyAlignment="1">
      <x:alignment horizontal="center" vertical="center"/>
    </x:xf>
    <x:xf numFmtId="206" fontId="5" fillId="6" borderId="11" xfId="0" applyNumberFormat="1" applyFont="1" applyFill="1" applyBorder="1" applyAlignment="1">
      <x:alignment horizontal="center" vertical="center"/>
    </x:xf>
    <x:xf numFmtId="203" fontId="5" fillId="6" borderId="4" xfId="0" applyNumberFormat="1" applyFont="1" applyFill="1" applyBorder="1" applyAlignment="1">
      <x:alignment horizontal="center" vertical="center"/>
    </x:xf>
    <x:xf numFmtId="203" fontId="5" fillId="6" borderId="5" xfId="0" applyNumberFormat="1" applyFont="1" applyFill="1" applyBorder="1" applyAlignment="1">
      <x:alignment horizontal="center" vertical="center"/>
    </x:xf>
    <x:xf numFmtId="203" fontId="5" fillId="6" borderId="6" xfId="0" applyNumberFormat="1" applyFont="1" applyFill="1" applyBorder="1" applyAlignment="1">
      <x:alignment horizontal="center" vertical="center"/>
    </x:xf>
    <x:xf numFmtId="203" fontId="5" fillId="6" borderId="7" xfId="0" applyNumberFormat="1" applyFont="1" applyFill="1" applyBorder="1" applyAlignment="1">
      <x:alignment horizontal="center" vertical="center"/>
    </x:xf>
    <x:xf numFmtId="203" fontId="5" fillId="6" borderId="0" xfId="0" applyNumberFormat="1" applyFont="1" applyFill="1" applyBorder="1" applyAlignment="1">
      <x:alignment horizontal="center" vertical="center"/>
    </x:xf>
    <x:xf numFmtId="203" fontId="5" fillId="6" borderId="8" xfId="0" applyNumberFormat="1" applyFont="1" applyFill="1" applyBorder="1" applyAlignment="1">
      <x:alignment horizontal="center" vertical="center"/>
    </x:xf>
    <x:xf numFmtId="203" fontId="5" fillId="6" borderId="9" xfId="0" applyNumberFormat="1" applyFont="1" applyFill="1" applyBorder="1" applyAlignment="1">
      <x:alignment horizontal="center" vertical="center"/>
    </x:xf>
    <x:xf numFmtId="203" fontId="5" fillId="6" borderId="10" xfId="0" applyNumberFormat="1" applyFont="1" applyFill="1" applyBorder="1" applyAlignment="1">
      <x:alignment horizontal="center" vertical="center"/>
    </x:xf>
    <x:xf numFmtId="203" fontId="5" fillId="6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aded587514967" /><Relationship Type="http://schemas.openxmlformats.org/officeDocument/2006/relationships/theme" Target="/xl/theme/theme1.xml" Id="R75afbb5f88f04a17" /><Relationship Type="http://schemas.openxmlformats.org/officeDocument/2006/relationships/sharedStrings" Target="/xl/sharedStrings.xml" Id="Rdc6138bf41d94874" /><Relationship Type="http://schemas.openxmlformats.org/officeDocument/2006/relationships/worksheet" Target="/xl/worksheets/sheet1.xml" Id="R67a4ee315e0e4402" /><Relationship Type="http://schemas.openxmlformats.org/officeDocument/2006/relationships/worksheet" Target="/xl/worksheets/sheet2.xml" Id="R9a75324e4ede4858" /><Relationship Type="http://schemas.openxmlformats.org/officeDocument/2006/relationships/worksheet" Target="/xl/worksheets/sheet3.xml" Id="Rbe1aa068605c41e2" /><Relationship Type="http://schemas.openxmlformats.org/officeDocument/2006/relationships/worksheet" Target="/xl/worksheets/sheet4.xml" Id="R9e266df2ca01488d" /><Relationship Type="http://schemas.openxmlformats.org/officeDocument/2006/relationships/worksheet" Target="/xl/worksheets/sheet5.xml" Id="Rcdc10c02b7334365" /><Relationship Type="http://schemas.openxmlformats.org/officeDocument/2006/relationships/worksheet" Target="/xl/worksheets/sheet6.xml" Id="R5c1bcc9c058c45c6" /><Relationship Type="http://schemas.openxmlformats.org/officeDocument/2006/relationships/worksheet" Target="/xl/worksheets/sheet7.xml" Id="Rf38f071bb62c4070" /><Relationship Type="http://schemas.openxmlformats.org/officeDocument/2006/relationships/worksheet" Target="/xl/worksheets/sheet8.xml" Id="R50efea2418f9432e" /><Relationship Type="http://schemas.openxmlformats.org/officeDocument/2006/relationships/worksheet" Target="/xl/worksheets/sheet9.xml" Id="Rd4bcbdf6ccda45f0" /><Relationship Type="http://schemas.microsoft.com/office/2017/10/relationships/person" Target="/xl/persons/person.xml" Id="Rf197f1ea15c041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24c24c67f648af" /><Relationship Type="http://schemas.openxmlformats.org/officeDocument/2006/relationships/chart" Target="/xl/drawings/charts/chart2.xml" Id="R14f311f2f19442d6" /><Relationship Type="http://schemas.openxmlformats.org/officeDocument/2006/relationships/chart" Target="/xl/drawings/charts/chart3.xml" Id="R984b23e595414f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candidates by controlled pipeline score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'Dashboard'!$B$12:$B$21</c:f>
              <c:strCache>
                <c:ptCount val="0"/>
              </c:strCache>
            </c:strRef>
          </c:cat>
          <c:val>
            <c:numRef>
              <c:f>'Dashboard'!$C$12:$C$21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budget used (TRY m)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Budget Used</c:v>
          </c:tx>
          <c:cat>
            <c:strRef>
              <c:f>'Dashboard'!$F$12:$F$14</c:f>
              <c:strCache>
                <c:ptCount val="0"/>
              </c:strCache>
            </c:strRef>
          </c:cat>
          <c:val>
            <c:numRef>
              <c:f>'Dashboard'!$G$12:$G$14</c:f>
              <c:numCache>
                <c:formatCode>"TRY "0.0"m"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TRY &quot;0.0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Incremental network coverage (people)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Incremental Population</c:v>
          </c:tx>
          <c:cat>
            <c:strRef>
              <c:f>'Dashboard'!$F$17:$F$19</c:f>
              <c:strCache>
                <c:ptCount val="0"/>
              </c:strCache>
            </c:strRef>
          </c:cat>
          <c:val>
            <c:numRef>
              <c:f>'Dashboard'!$G$17:$G$19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21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24c24c67f648af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f311f2f19442d6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21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4b23e595414f5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Murat Miraç Gedik" id="{393F39E4-5AD3-4A48-B736-BA4E6F3E5566}"/>
</xltc:personList>
</file>

<file path=xl/tables/table1.xml><?xml version="1.0" encoding="utf-8"?>
<x:table xmlns:x="http://schemas.openxmlformats.org/spreadsheetml/2006/main" id="1" name="CandidateSourceTable" displayName="CandidateSourceTable" ref="A4:AC28" headerRowCount="1" totalsRowCount="0" totalsRowShown="0">
  <x:tableColumns count="29">
    <x:tableColumn id="1" name="candidate_id"/>
    <x:tableColumn id="2" name="candidate_name"/>
    <x:tableColumn id="3" name="location_rank"/>
    <x:tableColumn id="4" name="location_score"/>
    <x:tableColumn id="5" name="predicted_sales_try_m"/>
    <x:tableColumn id="6" name="sales_p10_try_m"/>
    <x:tableColumn id="7" name="sales_p90_try_m"/>
    <x:tableColumn id="8" name="accessible_pop_drive_5"/>
    <x:tableColumn id="9" name="accessible_pop_drive_10"/>
    <x:tableColumn id="10" name="accessible_pop_drive_15"/>
    <x:tableColumn id="11" name="accessible_pop_walk_5"/>
    <x:tableColumn id="12" name="accessible_pop_walk_10"/>
    <x:tableColumn id="13" name="accessible_pop_walk_15"/>
    <x:tableColumn id="14" name="competitor_density_3km"/>
    <x:tableColumn id="15" name="poi_density_2km"/>
    <x:tableColumn id="16" name="cannibalization_risk"/>
    <x:tableColumn id="17" name="opening_cost_try_m"/>
    <x:tableColumn id="18" name="annual_opex_try_m"/>
    <x:tableColumn id="19" name="roi_3y"/>
    <x:tableColumn id="20" name="payback_months"/>
    <x:tableColumn id="21" name="recommendation_tier"/>
    <x:tableColumn id="22" name="market_potential_normalized"/>
    <x:tableColumn id="23" name="accessibility_normalized"/>
    <x:tableColumn id="24" name="commercial_attraction_normalized"/>
    <x:tableColumn id="25" name="white_space_normalized"/>
    <x:tableColumn id="26" name="cost_efficiency_normalized"/>
    <x:tableColumn id="27" name="cannibalization_resilience_normalized"/>
    <x:tableColumn id="28" name="profitability_normalized"/>
    <x:tableColumn id="29" name="delivery_confidence_normaliz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ssibilityTable" displayName="AccessibilityTable" ref="A4:G148" headerRowCount="1" totalsRowCount="0" totalsRowShown="0">
  <x:tableColumns count="7">
    <x:tableColumn id="1" name="candidate_id"/>
    <x:tableColumn id="2" name="source_h3_cell"/>
    <x:tableColumn id="3" name="mode"/>
    <x:tableColumn id="4" name="minutes"/>
    <x:tableColumn id="5" name="accessible_population"/>
    <x:tableColumn id="6" name="accessible_demand"/>
    <x:tableColumn id="7" name="reachable_cel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apTable" displayName="ShapTable" ref="A4:E220" headerRowCount="1" totalsRowCount="0" totalsRowShown="0">
  <x:tableColumns count="5">
    <x:tableColumn id="1" name="candidate_id"/>
    <x:tableColumn id="2" name="feature"/>
    <x:tableColumn id="3" name="feature_value"/>
    <x:tableColumn id="4" name="shap_contribution_try_m"/>
    <x:tableColumn id="5" name="di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5" dT="2026-07-29T15:20:03.034" personId="{393F39E4-5AD3-4A48-B736-BA4E6F3E5566}" id="{4335D46C-628F-968F-A985-2392D8A722F5}">
    <xltc:text>Audit source recorded by Murat Miraç Gedik. Access date: 2026-07-29.</xltc:text>
  </xltc:threadedComment>
  <xltc:threadedComment ref="F6" dT="2026-07-29T15:20:03.035" personId="{393F39E4-5AD3-4A48-B736-BA4E6F3E5566}" id="{B0F24520-CF94-69DA-EE03-15259FC893AC}">
    <xltc:text>Audit source recorded by Murat Miraç Gedik. Access date: 2026-07-29.</xltc:text>
  </xltc:threadedComment>
  <xltc:threadedComment ref="F7" dT="2026-07-29T15:20:03.035" personId="{393F39E4-5AD3-4A48-B736-BA4E6F3E5566}" id="{8B970B8E-0A3F-EC41-2657-F70DECFF11EF}">
    <xltc:text>Audit source recorded by Murat Miraç Gedik. Access date: 2026-07-29.</xltc:text>
  </xltc:threadedComment>
  <xltc:threadedComment ref="F8" dT="2026-07-29T15:20:03.035" personId="{393F39E4-5AD3-4A48-B736-BA4E6F3E5566}" id="{38811E38-273E-3521-65CF-22CC463BCA02}">
    <xltc:text>Audit source recorded by Murat Miraç Gedik. Access date: 2026-07-29.</xltc:text>
  </xltc:threadedComment>
  <xltc:threadedComment ref="F9" dT="2026-07-29T15:20:03.035" personId="{393F39E4-5AD3-4A48-B736-BA4E6F3E5566}" id="{45B350A7-4EDA-39A8-ED8F-7DD3E33ECA0B}">
    <xltc:text>Audit source recorded by Murat Miraç Gedik. Access date: 2026-07-29.</xltc:text>
  </xltc:threadedComment>
  <xltc:threadedComment ref="F10" dT="2026-07-29T15:20:03.035" personId="{393F39E4-5AD3-4A48-B736-BA4E6F3E5566}" id="{CA6E8CA1-EF30-32EE-7808-A0043D3D41A0}">
    <xltc:text>Audit source recorded by Murat Miraç Gedik. Access date: 2026-07-29.</xltc:text>
  </xltc:threadedComment>
  <xltc:threadedComment ref="F11" dT="2026-07-29T15:20:03.035" personId="{393F39E4-5AD3-4A48-B736-BA4E6F3E5566}" id="{EA92359C-2DC3-C828-E5BE-1BB081BA3579}">
    <xltc:text>Audit source recorded by Murat Miraç Gedik. Access date: 2026-07-29.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420d1f971d41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650b0e8e92bf43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a497e1c4385942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04967f042e0f42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1.xml" Id="R54eae5ed5efa4122" /><Relationship Type="http://schemas.openxmlformats.org/officeDocument/2006/relationships/vmlDrawing" Target="/xl/drawings/vmldrawing.vml" Id="R3e9bb5e214074d35" /><Relationship Type="http://schemas.microsoft.com/office/2017/10/relationships/threadedComment" Target="/xl/threadedcomments/threadedcomment.xml" Id="Rd98d9ca272ed47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7" hidden="0" customWidth="1"/>
    <x:col min="4" max="4" width="17" hidden="0" customWidth="1"/>
    <x:col min="6" max="6" width="18" hidden="0" customWidth="1"/>
    <x:col min="7" max="7" width="17" hidden="0" customWidth="1"/>
    <x:col min="8" max="8" width="22" hidden="0" customWidth="1"/>
  </x:cols>
  <x:sheetData>
    <x:row r="1" ht="34" customHeight="1">
      <x:c r="A1" s="3" t="str">
        <x:v>MarmaraMart Market Expansion Control Tower</x:v>
      </x:c>
      <x:c r="B1" s="3" t="str">
        <x:v>MarmaraMart Market Expansion Control Tower</x:v>
      </x:c>
      <x:c r="C1" s="3" t="str">
        <x:v>MarmaraMart Market Expansion Control Tower</x:v>
      </x:c>
      <x:c r="D1" s="3" t="str">
        <x:v>MarmaraMart Market Expansion Control Tower</x:v>
      </x:c>
      <x:c r="E1" s="3" t="str">
        <x:v>MarmaraMart Market Expansion Control Tower</x:v>
      </x:c>
      <x:c r="F1" s="3" t="str">
        <x:v>MarmaraMart Market Expansion Control Tower</x:v>
      </x:c>
      <x:c r="G1" s="3" t="str">
        <x:v>MarmaraMart Market Expansion Control Tower</x:v>
      </x:c>
      <x:c r="H1" s="3" t="str">
        <x:v>MarmaraMart Market Expansion Control Tower</x:v>
      </x:c>
      <x:c r="I1" s="3" t="str">
        <x:v>MarmaraMart Market Expansion Control Tower</x:v>
      </x:c>
      <x:c r="J1" s="3" t="str">
        <x:v>MarmaraMart Market Expansion Control Tower</x:v>
      </x:c>
      <x:c r="K1" s="3" t="str">
        <x:v>MarmaraMart Market Expansion Control Tower</x:v>
      </x:c>
      <x:c r="L1" s="3" t="str">
        <x:v>MarmaraMart Market Expansion Control Tower</x:v>
      </x:c>
      <x:c r="M1" s="3" t="str">
        <x:v>MarmaraMart Market Expansion Control Tower</x:v>
      </x:c>
      <x:c r="N1" s="3" t="str">
        <x:v>MarmaraMart Market Expansion Control Tower</x:v>
      </x:c>
      <x:c r="O1" s="3" t="str">
        <x:v>MarmaraMart Market Expansion Control Tower</x:v>
      </x:c>
      <x:c r="P1" s="3" t="str">
        <x:v>MarmaraMart Market Expansion Control Tower</x:v>
      </x:c>
      <x:c r="Q1" s="3" t="str">
        <x:v>MarmaraMart Market Expansion Control Tower</x:v>
      </x:c>
      <x:c r="R1" s="3" t="str">
        <x:v>MarmaraMart Market Expansion Control Tower</x:v>
      </x:c>
      <x:c r="S1" s="3" t="str">
        <x:v>MarmaraMart Market Expansion Control Tower</x:v>
      </x:c>
      <x:c r="T1" s="3" t="str">
        <x:v>MarmaraMart Market Expansion Control Tower</x:v>
      </x:c>
      <x:c r="U1" s="3" t="str">
        <x:v>MarmaraMart Market Expansion Control Tower</x:v>
      </x:c>
    </x:row>
    <x:row r="2" ht="28" customHeight="1">
      <x:c r="A2" s="6" t="str">
        <x:v>Istanbul metropolitan analytical footprint | deterministic synthetic decision support | as of 2026-07-29</x:v>
      </x:c>
      <x:c r="B2" s="6" t="str">
        <x:v>Istanbul metropolitan analytical footprint | deterministic synthetic decision support | as of 2026-07-29</x:v>
      </x:c>
      <x:c r="C2" s="6" t="str">
        <x:v>Istanbul metropolitan analytical footprint | deterministic synthetic decision support | as of 2026-07-29</x:v>
      </x:c>
      <x:c r="D2" s="6" t="str">
        <x:v>Istanbul metropolitan analytical footprint | deterministic synthetic decision support | as of 2026-07-29</x:v>
      </x:c>
      <x:c r="E2" s="6" t="str">
        <x:v>Istanbul metropolitan analytical footprint | deterministic synthetic decision support | as of 2026-07-29</x:v>
      </x:c>
      <x:c r="F2" s="6" t="str">
        <x:v>Istanbul metropolitan analytical footprint | deterministic synthetic decision support | as of 2026-07-29</x:v>
      </x:c>
      <x:c r="G2" s="6" t="str">
        <x:v>Istanbul metropolitan analytical footprint | deterministic synthetic decision support | as of 2026-07-29</x:v>
      </x:c>
      <x:c r="H2" s="6" t="str">
        <x:v>Istanbul metropolitan analytical footprint | deterministic synthetic decision support | as of 2026-07-29</x:v>
      </x:c>
      <x:c r="I2" s="6" t="str">
        <x:v>Istanbul metropolitan analytical footprint | deterministic synthetic decision support | as of 2026-07-29</x:v>
      </x:c>
      <x:c r="J2" s="6" t="str">
        <x:v>Istanbul metropolitan analytical footprint | deterministic synthetic decision support | as of 2026-07-29</x:v>
      </x:c>
      <x:c r="K2" s="6" t="str">
        <x:v>Istanbul metropolitan analytical footprint | deterministic synthetic decision support | as of 2026-07-29</x:v>
      </x:c>
      <x:c r="L2" s="6" t="str">
        <x:v>Istanbul metropolitan analytical footprint | deterministic synthetic decision support | as of 2026-07-29</x:v>
      </x:c>
      <x:c r="M2" s="6" t="str">
        <x:v>Istanbul metropolitan analytical footprint | deterministic synthetic decision support | as of 2026-07-29</x:v>
      </x:c>
      <x:c r="N2" s="6" t="str">
        <x:v>Istanbul metropolitan analytical footprint | deterministic synthetic decision support | as of 2026-07-29</x:v>
      </x:c>
      <x:c r="O2" s="6" t="str">
        <x:v>Istanbul metropolitan analytical footprint | deterministic synthetic decision support | as of 2026-07-29</x:v>
      </x:c>
      <x:c r="P2" s="6" t="str">
        <x:v>Istanbul metropolitan analytical footprint | deterministic synthetic decision support | as of 2026-07-29</x:v>
      </x:c>
      <x:c r="Q2" s="6" t="str">
        <x:v>Istanbul metropolitan analytical footprint | deterministic synthetic decision support | as of 2026-07-29</x:v>
      </x:c>
      <x:c r="R2" s="6" t="str">
        <x:v>Istanbul metropolitan analytical footprint | deterministic synthetic decision support | as of 2026-07-29</x:v>
      </x:c>
      <x:c r="S2" s="6" t="str">
        <x:v>Istanbul metropolitan analytical footprint | deterministic synthetic decision support | as of 2026-07-29</x:v>
      </x:c>
      <x:c r="T2" s="6" t="str">
        <x:v>Istanbul metropolitan analytical footprint | deterministic synthetic decision support | as of 2026-07-29</x:v>
      </x:c>
      <x:c r="U2" s="6" t="str">
        <x:v>Istanbul metropolitan analytical footprint | deterministic synthetic decision support | as of 2026-07-29</x:v>
      </x:c>
    </x:row>
    <x:row r="4">
      <x:c r="A4" s="36" t="str">
        <x:v>Selected scenario</x:v>
      </x:c>
      <x:c r="B4" s="37" t="str">
        <x:f>'Scenario Planner'!B4</x:f>
        <x:v>base</x:v>
      </x:c>
    </x:row>
    <x:row r="5">
      <x:c r="A5" s="66" t="str">
        <x:v>Top Candidate</x:v>
      </x:c>
      <x:c r="B5" s="66" t="str">
        <x:v>Top Candidate</x:v>
      </x:c>
      <x:c r="C5" s="66" t="str">
        <x:v>Top Candidate</x:v>
      </x:c>
      <x:c r="D5" s="66" t="str">
        <x:v>Top Candidate</x:v>
      </x:c>
      <x:c r="E5" s="66" t="str">
        <x:v>Top Location Score</x:v>
      </x:c>
      <x:c r="F5" s="66" t="str">
        <x:v>Top Location Score</x:v>
      </x:c>
      <x:c r="G5" s="66" t="str">
        <x:v>Top Location Score</x:v>
      </x:c>
      <x:c r="H5" s="66" t="str">
        <x:v>Top Location Score</x:v>
      </x:c>
      <x:c r="I5" s="66" t="str">
        <x:v>Selected Stores</x:v>
      </x:c>
      <x:c r="J5" s="66" t="str">
        <x:v>Selected Stores</x:v>
      </x:c>
      <x:c r="K5" s="66" t="str">
        <x:v>Selected Stores</x:v>
      </x:c>
      <x:c r="L5" s="66" t="str">
        <x:v>Selected Stores</x:v>
      </x:c>
      <x:c r="M5" s="66" t="str">
        <x:v>Budget Used</x:v>
      </x:c>
      <x:c r="N5" s="66" t="str">
        <x:v>Budget Used</x:v>
      </x:c>
      <x:c r="O5" s="66" t="str">
        <x:v>Budget Used</x:v>
      </x:c>
      <x:c r="P5" s="66" t="str">
        <x:v>Budget Used</x:v>
      </x:c>
      <x:c r="Q5" s="66" t="str">
        <x:v>Adjusted Portfolio Sales</x:v>
      </x:c>
      <x:c r="R5" s="66" t="str">
        <x:v>Adjusted Portfolio Sales</x:v>
      </x:c>
      <x:c r="S5" s="66" t="str">
        <x:v>Adjusted Portfolio Sales</x:v>
      </x:c>
      <x:c r="T5" s="66" t="str">
        <x:v>Adjusted Portfolio Sales</x:v>
      </x:c>
      <x:c r="U5" s="66" t="str">
        <x:v>Adjusted Portfolio Sales</x:v>
      </x:c>
    </x:row>
    <x:row r="6">
      <x:c r="A6" s="57" t="str">
        <x:f>'Location Evaluation'!C5</x:f>
        <x:v>Ikitelli Industry</x:v>
      </x:c>
      <x:c r="B6" s="58"/>
      <x:c r="C6" s="58"/>
      <x:c r="D6" s="59"/>
      <x:c r="E6" s="67" t="n">
        <x:f>'Location Evaluation'!D5</x:f>
        <x:v>81.236</x:v>
      </x:c>
      <x:c r="F6" s="68"/>
      <x:c r="G6" s="68"/>
      <x:c r="H6" s="69"/>
      <x:c r="I6" s="76" t="n">
        <x:f>'Scenario Planner'!E5</x:f>
        <x:v>4</x:v>
      </x:c>
      <x:c r="J6" s="77"/>
      <x:c r="K6" s="77"/>
      <x:c r="L6" s="78"/>
      <x:c r="M6" s="85" t="n">
        <x:f>'Scenario Planner'!E6</x:f>
        <x:v>93.382</x:v>
      </x:c>
      <x:c r="N6" s="86"/>
      <x:c r="O6" s="86"/>
      <x:c r="P6" s="87"/>
      <x:c r="Q6" s="85" t="n">
        <x:f>'Scenario Planner'!E7</x:f>
        <x:v>732.554</x:v>
      </x:c>
      <x:c r="R6" s="86"/>
      <x:c r="S6" s="86"/>
      <x:c r="T6" s="86"/>
      <x:c r="U6" s="87"/>
    </x:row>
    <x:row r="7">
      <x:c r="A7" s="60"/>
      <x:c r="B7" s="61"/>
      <x:c r="C7" s="61"/>
      <x:c r="D7" s="62"/>
      <x:c r="E7" s="70"/>
      <x:c r="F7" s="71"/>
      <x:c r="G7" s="71"/>
      <x:c r="H7" s="72"/>
      <x:c r="I7" s="79"/>
      <x:c r="J7" s="80"/>
      <x:c r="K7" s="80"/>
      <x:c r="L7" s="81"/>
      <x:c r="M7" s="88"/>
      <x:c r="N7" s="89"/>
      <x:c r="O7" s="89"/>
      <x:c r="P7" s="90"/>
      <x:c r="Q7" s="88"/>
      <x:c r="R7" s="89"/>
      <x:c r="S7" s="89"/>
      <x:c r="T7" s="89"/>
      <x:c r="U7" s="90"/>
    </x:row>
    <x:row r="8">
      <x:c r="A8" s="60"/>
      <x:c r="B8" s="61"/>
      <x:c r="C8" s="61"/>
      <x:c r="D8" s="62"/>
      <x:c r="E8" s="70"/>
      <x:c r="F8" s="71"/>
      <x:c r="G8" s="71"/>
      <x:c r="H8" s="72"/>
      <x:c r="I8" s="79"/>
      <x:c r="J8" s="80"/>
      <x:c r="K8" s="80"/>
      <x:c r="L8" s="81"/>
      <x:c r="M8" s="88"/>
      <x:c r="N8" s="89"/>
      <x:c r="O8" s="89"/>
      <x:c r="P8" s="90"/>
      <x:c r="Q8" s="88"/>
      <x:c r="R8" s="89"/>
      <x:c r="S8" s="89"/>
      <x:c r="T8" s="89"/>
      <x:c r="U8" s="90"/>
    </x:row>
    <x:row r="9">
      <x:c r="A9" s="63"/>
      <x:c r="B9" s="64"/>
      <x:c r="C9" s="64"/>
      <x:c r="D9" s="65"/>
      <x:c r="E9" s="73"/>
      <x:c r="F9" s="74"/>
      <x:c r="G9" s="74"/>
      <x:c r="H9" s="75"/>
      <x:c r="I9" s="82"/>
      <x:c r="J9" s="83"/>
      <x:c r="K9" s="83"/>
      <x:c r="L9" s="84"/>
      <x:c r="M9" s="91"/>
      <x:c r="N9" s="92"/>
      <x:c r="O9" s="92"/>
      <x:c r="P9" s="93"/>
      <x:c r="Q9" s="91"/>
      <x:c r="R9" s="92"/>
      <x:c r="S9" s="92"/>
      <x:c r="T9" s="92"/>
      <x:c r="U9" s="93"/>
    </x:row>
    <x:row r="11" ht="30" customHeight="1">
      <x:c r="A11" s="18" t="str">
        <x:v>Rank</x:v>
      </x:c>
      <x:c r="B11" s="19" t="str">
        <x:v>Candidate</x:v>
      </x:c>
      <x:c r="C11" s="19" t="str">
        <x:v>Score</x:v>
      </x:c>
      <x:c r="D11" s="20" t="str">
        <x:v>Predicted Sales</x:v>
      </x:c>
      <x:c r="F11" s="18" t="str">
        <x:v>Scenario</x:v>
      </x:c>
      <x:c r="G11" s="19" t="str">
        <x:v>Budget Used</x:v>
      </x:c>
      <x:c r="H11" s="20" t="str">
        <x:v>Incremental Population</x:v>
      </x:c>
    </x:row>
    <x:row r="12">
      <x:c r="A12" t="n">
        <x:f>'Location Evaluation'!A5</x:f>
        <x:v>1</x:v>
      </x:c>
      <x:c r="B12" t="str">
        <x:f>'Location Evaluation'!C5</x:f>
        <x:v>Ikitelli Industry</x:v>
      </x:c>
      <x:c r="C12" s="31" t="n">
        <x:f>'Location Evaluation'!D5</x:f>
        <x:v>81.236</x:v>
      </x:c>
      <x:c r="D12" s="33" t="n">
        <x:f>'Location Evaluation'!F5</x:f>
        <x:v>183.107</x:v>
      </x:c>
      <x:c r="F12" t="str">
        <x:v>pessimistic</x:v>
      </x:c>
      <x:c r="G12" s="33" t="n">
        <x:v>74.47330000000001</x:v>
      </x:c>
      <x:c r="H12" s="32" t="n">
        <x:v>908890</x:v>
      </x:c>
    </x:row>
    <x:row r="13">
      <x:c r="A13" t="n">
        <x:f>'Location Evaluation'!A6</x:f>
        <x:v>2</x:v>
      </x:c>
      <x:c r="B13" t="str">
        <x:f>'Location Evaluation'!C6</x:f>
        <x:v>Sultanbeyli Square</x:v>
      </x:c>
      <x:c r="C13" s="31" t="n">
        <x:f>'Location Evaluation'!D6</x:f>
        <x:v>80.521</x:v>
      </x:c>
      <x:c r="D13" s="33" t="n">
        <x:f>'Location Evaluation'!F6</x:f>
        <x:v>182.32</x:v>
      </x:c>
      <x:c r="F13" t="str">
        <x:v>base</x:v>
      </x:c>
      <x:c r="G13" s="33" t="n">
        <x:v>93.382</x:v>
      </x:c>
      <x:c r="H13" s="32" t="n">
        <x:v>1329291</x:v>
      </x:c>
    </x:row>
    <x:row r="14">
      <x:c r="A14" t="n">
        <x:f>'Location Evaluation'!A7</x:f>
        <x:v>3</x:v>
      </x:c>
      <x:c r="B14" t="str">
        <x:f>'Location Evaluation'!C7</x:f>
        <x:v>Sancaktepe Hub</x:v>
      </x:c>
      <x:c r="C14" s="31" t="n">
        <x:f>'Location Evaluation'!D7</x:f>
        <x:v>80.095</x:v>
      </x:c>
      <x:c r="D14" s="33" t="n">
        <x:f>'Location Evaluation'!F7</x:f>
        <x:v>182.183</x:v>
      </x:c>
      <x:c r="F14" t="str">
        <x:v>optimistic</x:v>
      </x:c>
      <x:c r="G14" s="33" t="n">
        <x:v>135.78255</x:v>
      </x:c>
      <x:c r="H14" s="32" t="n">
        <x:v>2068792</x:v>
      </x:c>
    </x:row>
    <x:row r="15">
      <x:c r="A15" t="n">
        <x:f>'Location Evaluation'!A8</x:f>
        <x:v>4</x:v>
      </x:c>
      <x:c r="B15" t="str">
        <x:f>'Location Evaluation'!C8</x:f>
        <x:v>Eyupsultan Hub</x:v>
      </x:c>
      <x:c r="C15" s="31" t="n">
        <x:f>'Location Evaluation'!D8</x:f>
        <x:v>78.88</x:v>
      </x:c>
      <x:c r="D15" s="33" t="n">
        <x:f>'Location Evaluation'!F8</x:f>
        <x:v>184.944</x:v>
      </x:c>
    </x:row>
    <x:row r="16" ht="30" customHeight="1">
      <x:c r="A16" t="n">
        <x:f>'Location Evaluation'!A9</x:f>
        <x:v>5</x:v>
      </x:c>
      <x:c r="B16" t="str">
        <x:f>'Location Evaluation'!C9</x:f>
        <x:v>Avcilar University</x:v>
      </x:c>
      <x:c r="C16" s="31" t="n">
        <x:f>'Location Evaluation'!D9</x:f>
        <x:v>78.402</x:v>
      </x:c>
      <x:c r="D16" s="33" t="n">
        <x:f>'Location Evaluation'!F9</x:f>
        <x:v>182.37</x:v>
      </x:c>
      <x:c r="F16" s="18" t="str">
        <x:v>Scenario</x:v>
      </x:c>
      <x:c r="G16" s="20" t="str">
        <x:v>Incremental Population</x:v>
      </x:c>
    </x:row>
    <x:row r="17">
      <x:c r="A17" t="n">
        <x:f>'Location Evaluation'!A10</x:f>
        <x:v>6</x:v>
      </x:c>
      <x:c r="B17" t="str">
        <x:f>'Location Evaluation'!C10</x:f>
        <x:v>Kagithane Axis</x:v>
      </x:c>
      <x:c r="C17" s="31" t="n">
        <x:f>'Location Evaluation'!D10</x:f>
        <x:v>77.712</x:v>
      </x:c>
      <x:c r="D17" s="33" t="n">
        <x:f>'Location Evaluation'!F10</x:f>
        <x:v>183.456</x:v>
      </x:c>
      <x:c r="F17" t="str">
        <x:v>pessimistic</x:v>
      </x:c>
      <x:c r="G17" s="32" t="n">
        <x:v>908890</x:v>
      </x:c>
    </x:row>
    <x:row r="18">
      <x:c r="A18" t="n">
        <x:f>'Location Evaluation'!A11</x:f>
        <x:v>7</x:v>
      </x:c>
      <x:c r="B18" t="str">
        <x:f>'Location Evaluation'!C11</x:f>
        <x:v>Bahcelievler Metro</x:v>
      </x:c>
      <x:c r="C18" s="31" t="n">
        <x:f>'Location Evaluation'!D11</x:f>
        <x:v>74.67</x:v>
      </x:c>
      <x:c r="D18" s="33" t="n">
        <x:f>'Location Evaluation'!F11</x:f>
        <x:v>183.858</x:v>
      </x:c>
      <x:c r="F18" t="str">
        <x:v>base</x:v>
      </x:c>
      <x:c r="G18" s="32" t="n">
        <x:v>1329291</x:v>
      </x:c>
    </x:row>
    <x:row r="19">
      <x:c r="A19" t="n">
        <x:f>'Location Evaluation'!A12</x:f>
        <x:v>8</x:v>
      </x:c>
      <x:c r="B19" t="str">
        <x:f>'Location Evaluation'!C12</x:f>
        <x:v>Pendik Marina</x:v>
      </x:c>
      <x:c r="C19" s="31" t="n">
        <x:f>'Location Evaluation'!D12</x:f>
        <x:v>74.183</x:v>
      </x:c>
      <x:c r="D19" s="33" t="n">
        <x:f>'Location Evaluation'!F12</x:f>
        <x:v>177.554</x:v>
      </x:c>
      <x:c r="F19" t="str">
        <x:v>optimistic</x:v>
      </x:c>
      <x:c r="G19" s="32" t="n">
        <x:v>2068792</x:v>
      </x:c>
    </x:row>
    <x:row r="20">
      <x:c r="A20" t="n">
        <x:f>'Location Evaluation'!A13</x:f>
        <x:v>9</x:v>
      </x:c>
      <x:c r="B20" t="str">
        <x:f>'Location Evaluation'!C13</x:f>
        <x:v>Esenyurt Square</x:v>
      </x:c>
      <x:c r="C20" s="31" t="n">
        <x:f>'Location Evaluation'!D13</x:f>
        <x:v>74.17</x:v>
      </x:c>
      <x:c r="D20" s="33" t="n">
        <x:f>'Location Evaluation'!F13</x:f>
        <x:v>166.92</x:v>
      </x:c>
    </x:row>
    <x:row r="21">
      <x:c r="A21" t="n">
        <x:f>'Location Evaluation'!A14</x:f>
        <x:v>10</x:v>
      </x:c>
      <x:c r="B21" t="str">
        <x:f>'Location Evaluation'!C14</x:f>
        <x:v>Basaksehir Center</x:v>
      </x:c>
      <x:c r="C21" s="31" t="n">
        <x:f>'Location Evaluation'!D14</x:f>
        <x:v>73.694</x:v>
      </x:c>
      <x:c r="D21" s="33" t="n">
        <x:f>'Location Evaluation'!F14</x:f>
        <x:v>183.362</x:v>
      </x:c>
    </x:row>
    <x:row r="46">
      <x:c r="A46" s="111" t="str">
        <x:v>Governance: outputs are synthetic, not investment advice, and require human review. Workbook scenario population sums are not de-duplicated; authoritative coverage is the optimization pipeline output.</x:v>
      </x:c>
      <x:c r="B46" s="112" t="str">
        <x:v>Governance: outputs are synthetic, not investment advice, and require human review. Workbook scenario population sums are not de-duplicated; authoritative coverage is the optimization pipeline output.</x:v>
      </x:c>
      <x:c r="C46" s="112" t="str">
        <x:v>Governance: outputs are synthetic, not investment advice, and require human review. Workbook scenario population sums are not de-duplicated; authoritative coverage is the optimization pipeline output.</x:v>
      </x:c>
      <x:c r="D46" s="112" t="str">
        <x:v>Governance: outputs are synthetic, not investment advice, and require human review. Workbook scenario population sums are not de-duplicated; authoritative coverage is the optimization pipeline output.</x:v>
      </x:c>
      <x:c r="E46" s="112" t="str">
        <x:v>Governance: outputs are synthetic, not investment advice, and require human review. Workbook scenario population sums are not de-duplicated; authoritative coverage is the optimization pipeline output.</x:v>
      </x:c>
      <x:c r="F46" s="112" t="str">
        <x:v>Governance: outputs are synthetic, not investment advice, and require human review. Workbook scenario population sums are not de-duplicated; authoritative coverage is the optimization pipeline output.</x:v>
      </x:c>
      <x:c r="G46" s="112" t="str">
        <x:v>Governance: outputs are synthetic, not investment advice, and require human review. Workbook scenario population sums are not de-duplicated; authoritative coverage is the optimization pipeline output.</x:v>
      </x:c>
      <x:c r="H46" s="112" t="str">
        <x:v>Governance: outputs are synthetic, not investment advice, and require human review. Workbook scenario population sums are not de-duplicated; authoritative coverage is the optimization pipeline output.</x:v>
      </x:c>
      <x:c r="I46" s="112" t="str">
        <x:v>Governance: outputs are synthetic, not investment advice, and require human review. Workbook scenario population sums are not de-duplicated; authoritative coverage is the optimization pipeline output.</x:v>
      </x:c>
      <x:c r="J46" s="112" t="str">
        <x:v>Governance: outputs are synthetic, not investment advice, and require human review. Workbook scenario population sums are not de-duplicated; authoritative coverage is the optimization pipeline output.</x:v>
      </x:c>
      <x:c r="K46" s="112" t="str">
        <x:v>Governance: outputs are synthetic, not investment advice, and require human review. Workbook scenario population sums are not de-duplicated; authoritative coverage is the optimization pipeline output.</x:v>
      </x:c>
      <x:c r="L46" s="112" t="str">
        <x:v>Governance: outputs are synthetic, not investment advice, and require human review. Workbook scenario population sums are not de-duplicated; authoritative coverage is the optimization pipeline output.</x:v>
      </x:c>
      <x:c r="M46" s="112" t="str">
        <x:v>Governance: outputs are synthetic, not investment advice, and require human review. Workbook scenario population sums are not de-duplicated; authoritative coverage is the optimization pipeline output.</x:v>
      </x:c>
      <x:c r="N46" s="112" t="str">
        <x:v>Governance: outputs are synthetic, not investment advice, and require human review. Workbook scenario population sums are not de-duplicated; authoritative coverage is the optimization pipeline output.</x:v>
      </x:c>
      <x:c r="O46" s="112" t="str">
        <x:v>Governance: outputs are synthetic, not investment advice, and require human review. Workbook scenario population sums are not de-duplicated; authoritative coverage is the optimization pipeline output.</x:v>
      </x:c>
      <x:c r="P46" s="112" t="str">
        <x:v>Governance: outputs are synthetic, not investment advice, and require human review. Workbook scenario population sums are not de-duplicated; authoritative coverage is the optimization pipeline output.</x:v>
      </x:c>
      <x:c r="Q46" s="112" t="str">
        <x:v>Governance: outputs are synthetic, not investment advice, and require human review. Workbook scenario population sums are not de-duplicated; authoritative coverage is the optimization pipeline output.</x:v>
      </x:c>
      <x:c r="R46" s="112" t="str">
        <x:v>Governance: outputs are synthetic, not investment advice, and require human review. Workbook scenario population sums are not de-duplicated; authoritative coverage is the optimization pipeline output.</x:v>
      </x:c>
      <x:c r="S46" s="112" t="str">
        <x:v>Governance: outputs are synthetic, not investment advice, and require human review. Workbook scenario population sums are not de-duplicated; authoritative coverage is the optimization pipeline output.</x:v>
      </x:c>
      <x:c r="T46" s="112" t="str">
        <x:v>Governance: outputs are synthetic, not investment advice, and require human review. Workbook scenario population sums are not de-duplicated; authoritative coverage is the optimization pipeline output.</x:v>
      </x:c>
      <x:c r="U46" s="113" t="str">
        <x:v>Governance: outputs are synthetic, not investment advice, and require human review. Workbook scenario population sums are not de-duplicated; authoritative coverage is the optimization pipeline output.</x:v>
      </x:c>
    </x:row>
    <x:row r="47">
      <x:c r="A47" s="114" t="str">
        <x:v>Governance: outputs are synthetic, not investment advice, and require human review. Workbook scenario population sums are not de-duplicated; authoritative coverage is the optimization pipeline output.</x:v>
      </x:c>
      <x:c r="B47" s="115" t="str">
        <x:v>Governance: outputs are synthetic, not investment advice, and require human review. Workbook scenario population sums are not de-duplicated; authoritative coverage is the optimization pipeline output.</x:v>
      </x:c>
      <x:c r="C47" s="115" t="str">
        <x:v>Governance: outputs are synthetic, not investment advice, and require human review. Workbook scenario population sums are not de-duplicated; authoritative coverage is the optimization pipeline output.</x:v>
      </x:c>
      <x:c r="D47" s="115" t="str">
        <x:v>Governance: outputs are synthetic, not investment advice, and require human review. Workbook scenario population sums are not de-duplicated; authoritative coverage is the optimization pipeline output.</x:v>
      </x:c>
      <x:c r="E47" s="115" t="str">
        <x:v>Governance: outputs are synthetic, not investment advice, and require human review. Workbook scenario population sums are not de-duplicated; authoritative coverage is the optimization pipeline output.</x:v>
      </x:c>
      <x:c r="F47" s="115" t="str">
        <x:v>Governance: outputs are synthetic, not investment advice, and require human review. Workbook scenario population sums are not de-duplicated; authoritative coverage is the optimization pipeline output.</x:v>
      </x:c>
      <x:c r="G47" s="115" t="str">
        <x:v>Governance: outputs are synthetic, not investment advice, and require human review. Workbook scenario population sums are not de-duplicated; authoritative coverage is the optimization pipeline output.</x:v>
      </x:c>
      <x:c r="H47" s="115" t="str">
        <x:v>Governance: outputs are synthetic, not investment advice, and require human review. Workbook scenario population sums are not de-duplicated; authoritative coverage is the optimization pipeline output.</x:v>
      </x:c>
      <x:c r="I47" s="115" t="str">
        <x:v>Governance: outputs are synthetic, not investment advice, and require human review. Workbook scenario population sums are not de-duplicated; authoritative coverage is the optimization pipeline output.</x:v>
      </x:c>
      <x:c r="J47" s="115" t="str">
        <x:v>Governance: outputs are synthetic, not investment advice, and require human review. Workbook scenario population sums are not de-duplicated; authoritative coverage is the optimization pipeline output.</x:v>
      </x:c>
      <x:c r="K47" s="115" t="str">
        <x:v>Governance: outputs are synthetic, not investment advice, and require human review. Workbook scenario population sums are not de-duplicated; authoritative coverage is the optimization pipeline output.</x:v>
      </x:c>
      <x:c r="L47" s="115" t="str">
        <x:v>Governance: outputs are synthetic, not investment advice, and require human review. Workbook scenario population sums are not de-duplicated; authoritative coverage is the optimization pipeline output.</x:v>
      </x:c>
      <x:c r="M47" s="115" t="str">
        <x:v>Governance: outputs are synthetic, not investment advice, and require human review. Workbook scenario population sums are not de-duplicated; authoritative coverage is the optimization pipeline output.</x:v>
      </x:c>
      <x:c r="N47" s="115" t="str">
        <x:v>Governance: outputs are synthetic, not investment advice, and require human review. Workbook scenario population sums are not de-duplicated; authoritative coverage is the optimization pipeline output.</x:v>
      </x:c>
      <x:c r="O47" s="115" t="str">
        <x:v>Governance: outputs are synthetic, not investment advice, and require human review. Workbook scenario population sums are not de-duplicated; authoritative coverage is the optimization pipeline output.</x:v>
      </x:c>
      <x:c r="P47" s="115" t="str">
        <x:v>Governance: outputs are synthetic, not investment advice, and require human review. Workbook scenario population sums are not de-duplicated; authoritative coverage is the optimization pipeline output.</x:v>
      </x:c>
      <x:c r="Q47" s="115" t="str">
        <x:v>Governance: outputs are synthetic, not investment advice, and require human review. Workbook scenario population sums are not de-duplicated; authoritative coverage is the optimization pipeline output.</x:v>
      </x:c>
      <x:c r="R47" s="115" t="str">
        <x:v>Governance: outputs are synthetic, not investment advice, and require human review. Workbook scenario population sums are not de-duplicated; authoritative coverage is the optimization pipeline output.</x:v>
      </x:c>
      <x:c r="S47" s="115" t="str">
        <x:v>Governance: outputs are synthetic, not investment advice, and require human review. Workbook scenario population sums are not de-duplicated; authoritative coverage is the optimization pipeline output.</x:v>
      </x:c>
      <x:c r="T47" s="115" t="str">
        <x:v>Governance: outputs are synthetic, not investment advice, and require human review. Workbook scenario population sums are not de-duplicated; authoritative coverage is the optimization pipeline output.</x:v>
      </x:c>
      <x:c r="U47" s="116" t="str">
        <x:v>Governance: outputs are synthetic, not investment advice, and require human review. Workbook scenario population sums are not de-duplicated; authoritative coverage is the optimization pipeline output.</x:v>
      </x:c>
    </x:row>
    <x:row r="48">
      <x:c r="A48" s="117" t="str">
        <x:v>Governance: outputs are synthetic, not investment advice, and require human review. Workbook scenario population sums are not de-duplicated; authoritative coverage is the optimization pipeline output.</x:v>
      </x:c>
      <x:c r="B48" s="118" t="str">
        <x:v>Governance: outputs are synthetic, not investment advice, and require human review. Workbook scenario population sums are not de-duplicated; authoritative coverage is the optimization pipeline output.</x:v>
      </x:c>
      <x:c r="C48" s="118" t="str">
        <x:v>Governance: outputs are synthetic, not investment advice, and require human review. Workbook scenario population sums are not de-duplicated; authoritative coverage is the optimization pipeline output.</x:v>
      </x:c>
      <x:c r="D48" s="118" t="str">
        <x:v>Governance: outputs are synthetic, not investment advice, and require human review. Workbook scenario population sums are not de-duplicated; authoritative coverage is the optimization pipeline output.</x:v>
      </x:c>
      <x:c r="E48" s="118" t="str">
        <x:v>Governance: outputs are synthetic, not investment advice, and require human review. Workbook scenario population sums are not de-duplicated; authoritative coverage is the optimization pipeline output.</x:v>
      </x:c>
      <x:c r="F48" s="118" t="str">
        <x:v>Governance: outputs are synthetic, not investment advice, and require human review. Workbook scenario population sums are not de-duplicated; authoritative coverage is the optimization pipeline output.</x:v>
      </x:c>
      <x:c r="G48" s="118" t="str">
        <x:v>Governance: outputs are synthetic, not investment advice, and require human review. Workbook scenario population sums are not de-duplicated; authoritative coverage is the optimization pipeline output.</x:v>
      </x:c>
      <x:c r="H48" s="118" t="str">
        <x:v>Governance: outputs are synthetic, not investment advice, and require human review. Workbook scenario population sums are not de-duplicated; authoritative coverage is the optimization pipeline output.</x:v>
      </x:c>
      <x:c r="I48" s="118" t="str">
        <x:v>Governance: outputs are synthetic, not investment advice, and require human review. Workbook scenario population sums are not de-duplicated; authoritative coverage is the optimization pipeline output.</x:v>
      </x:c>
      <x:c r="J48" s="118" t="str">
        <x:v>Governance: outputs are synthetic, not investment advice, and require human review. Workbook scenario population sums are not de-duplicated; authoritative coverage is the optimization pipeline output.</x:v>
      </x:c>
      <x:c r="K48" s="118" t="str">
        <x:v>Governance: outputs are synthetic, not investment advice, and require human review. Workbook scenario population sums are not de-duplicated; authoritative coverage is the optimization pipeline output.</x:v>
      </x:c>
      <x:c r="L48" s="118" t="str">
        <x:v>Governance: outputs are synthetic, not investment advice, and require human review. Workbook scenario population sums are not de-duplicated; authoritative coverage is the optimization pipeline output.</x:v>
      </x:c>
      <x:c r="M48" s="118" t="str">
        <x:v>Governance: outputs are synthetic, not investment advice, and require human review. Workbook scenario population sums are not de-duplicated; authoritative coverage is the optimization pipeline output.</x:v>
      </x:c>
      <x:c r="N48" s="118" t="str">
        <x:v>Governance: outputs are synthetic, not investment advice, and require human review. Workbook scenario population sums are not de-duplicated; authoritative coverage is the optimization pipeline output.</x:v>
      </x:c>
      <x:c r="O48" s="118" t="str">
        <x:v>Governance: outputs are synthetic, not investment advice, and require human review. Workbook scenario population sums are not de-duplicated; authoritative coverage is the optimization pipeline output.</x:v>
      </x:c>
      <x:c r="P48" s="118" t="str">
        <x:v>Governance: outputs are synthetic, not investment advice, and require human review. Workbook scenario population sums are not de-duplicated; authoritative coverage is the optimization pipeline output.</x:v>
      </x:c>
      <x:c r="Q48" s="118" t="str">
        <x:v>Governance: outputs are synthetic, not investment advice, and require human review. Workbook scenario population sums are not de-duplicated; authoritative coverage is the optimization pipeline output.</x:v>
      </x:c>
      <x:c r="R48" s="118" t="str">
        <x:v>Governance: outputs are synthetic, not investment advice, and require human review. Workbook scenario population sums are not de-duplicated; authoritative coverage is the optimization pipeline output.</x:v>
      </x:c>
      <x:c r="S48" s="118" t="str">
        <x:v>Governance: outputs are synthetic, not investment advice, and require human review. Workbook scenario population sums are not de-duplicated; authoritative coverage is the optimization pipeline output.</x:v>
      </x:c>
      <x:c r="T48" s="118" t="str">
        <x:v>Governance: outputs are synthetic, not investment advice, and require human review. Workbook scenario population sums are not de-duplicated; authoritative coverage is the optimization pipeline output.</x:v>
      </x:c>
      <x:c r="U48" s="119" t="str">
        <x:v>Governance: outputs are synthetic, not investment advice, and require human review. Workbook scenario population sums are not de-duplicated; authoritative coverage is the optimization pipeline output.</x:v>
      </x:c>
    </x:row>
  </x:sheetData>
  <x:mergeCells>
    <x:mergeCell ref="A1:U1"/>
    <x:mergeCell ref="A2:U2"/>
    <x:mergeCell ref="A6:D9"/>
    <x:mergeCell ref="A5:D5"/>
    <x:mergeCell ref="E6:H9"/>
    <x:mergeCell ref="E5:H5"/>
    <x:mergeCell ref="I6:L9"/>
    <x:mergeCell ref="I5:L5"/>
    <x:mergeCell ref="M6:P9"/>
    <x:mergeCell ref="M5:P5"/>
    <x:mergeCell ref="Q6:U9"/>
    <x:mergeCell ref="Q5:U5"/>
    <x:mergeCell ref="A46:U48"/>
  </x:mergeCells>
  <x:pageMargins left="0.7" right="0.7" top="0.75" bottom="0.75" header="0.3" footer="0.3"/>
  <x:drawing xmlns:r="http://schemas.openxmlformats.org/officeDocument/2006/relationships" r:id="Re9420d1f971d41d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4" customHeight="1">
      <x:c r="A1" s="3" t="str">
        <x:v>Formula-Based Location Evaluation</x:v>
      </x:c>
      <x:c r="B1" s="3" t="str">
        <x:v>Formula-Based Location Evaluation</x:v>
      </x:c>
      <x:c r="C1" s="3" t="str">
        <x:v>Formula-Based Location Evaluation</x:v>
      </x:c>
      <x:c r="D1" s="3" t="str">
        <x:v>Formula-Based Location Evaluation</x:v>
      </x:c>
      <x:c r="E1" s="3" t="str">
        <x:v>Formula-Based Location Evaluation</x:v>
      </x:c>
      <x:c r="F1" s="3" t="str">
        <x:v>Formula-Based Location Evaluation</x:v>
      </x:c>
      <x:c r="G1" s="3" t="str">
        <x:v>Formula-Based Location Evaluation</x:v>
      </x:c>
      <x:c r="H1" s="3" t="str">
        <x:v>Formula-Based Location Evaluation</x:v>
      </x:c>
      <x:c r="I1" s="3" t="str">
        <x:v>Formula-Based Location Evaluation</x:v>
      </x:c>
      <x:c r="J1" s="3" t="str">
        <x:v>Formula-Based Location Evaluation</x:v>
      </x:c>
      <x:c r="K1" s="3" t="str">
        <x:v>Formula-Based Location Evaluation</x:v>
      </x:c>
      <x:c r="L1" s="3" t="str">
        <x:v>Formula-Based Location Evaluation</x:v>
      </x:c>
      <x:c r="M1" s="3" t="str">
        <x:v>Formula-Based Location Evaluation</x:v>
      </x:c>
      <x:c r="N1" s="3" t="str">
        <x:v>Formula-Based Location Evaluation</x:v>
      </x:c>
      <x:c r="O1" s="3" t="str">
        <x:v>Formula-Based Location Evaluation</x:v>
      </x:c>
      <x:c r="P1" s="3" t="str">
        <x:v>Formula-Based Location Evaluation</x:v>
      </x:c>
      <x:c r="Q1" s="3" t="str">
        <x:v>Formula-Based Location Evaluation</x:v>
      </x:c>
      <x:c r="R1" s="3" t="str">
        <x:v>Formula-Based Location Evaluation</x:v>
      </x:c>
    </x:row>
    <x:row r="2" ht="28" customHeight="1">
      <x:c r="A2" s="6" t="str">
        <x:v>Adjusted score reacts to the editable AHP weights; pipeline score remains the controlled reference.</x:v>
      </x:c>
      <x:c r="B2" s="6" t="str">
        <x:v>Adjusted score reacts to the editable AHP weights; pipeline score remains the controlled reference.</x:v>
      </x:c>
      <x:c r="C2" s="6" t="str">
        <x:v>Adjusted score reacts to the editable AHP weights; pipeline score remains the controlled reference.</x:v>
      </x:c>
      <x:c r="D2" s="6" t="str">
        <x:v>Adjusted score reacts to the editable AHP weights; pipeline score remains the controlled reference.</x:v>
      </x:c>
      <x:c r="E2" s="6" t="str">
        <x:v>Adjusted score reacts to the editable AHP weights; pipeline score remains the controlled reference.</x:v>
      </x:c>
      <x:c r="F2" s="6" t="str">
        <x:v>Adjusted score reacts to the editable AHP weights; pipeline score remains the controlled reference.</x:v>
      </x:c>
      <x:c r="G2" s="6" t="str">
        <x:v>Adjusted score reacts to the editable AHP weights; pipeline score remains the controlled reference.</x:v>
      </x:c>
      <x:c r="H2" s="6" t="str">
        <x:v>Adjusted score reacts to the editable AHP weights; pipeline score remains the controlled reference.</x:v>
      </x:c>
      <x:c r="I2" s="6" t="str">
        <x:v>Adjusted score reacts to the editable AHP weights; pipeline score remains the controlled reference.</x:v>
      </x:c>
      <x:c r="J2" s="6" t="str">
        <x:v>Adjusted score reacts to the editable AHP weights; pipeline score remains the controlled reference.</x:v>
      </x:c>
      <x:c r="K2" s="6" t="str">
        <x:v>Adjusted score reacts to the editable AHP weights; pipeline score remains the controlled reference.</x:v>
      </x:c>
      <x:c r="L2" s="6" t="str">
        <x:v>Adjusted score reacts to the editable AHP weights; pipeline score remains the controlled reference.</x:v>
      </x:c>
      <x:c r="M2" s="6" t="str">
        <x:v>Adjusted score reacts to the editable AHP weights; pipeline score remains the controlled reference.</x:v>
      </x:c>
      <x:c r="N2" s="6" t="str">
        <x:v>Adjusted score reacts to the editable AHP weights; pipeline score remains the controlled reference.</x:v>
      </x:c>
      <x:c r="O2" s="6" t="str">
        <x:v>Adjusted score reacts to the editable AHP weights; pipeline score remains the controlled reference.</x:v>
      </x:c>
      <x:c r="P2" s="6" t="str">
        <x:v>Adjusted score reacts to the editable AHP weights; pipeline score remains the controlled reference.</x:v>
      </x:c>
      <x:c r="Q2" s="6" t="str">
        <x:v>Adjusted score reacts to the editable AHP weights; pipeline score remains the controlled reference.</x:v>
      </x:c>
      <x:c r="R2" s="6" t="str">
        <x:v>Adjusted score reacts to the editable AHP weights; pipeline score remains the controlled reference.</x:v>
      </x:c>
    </x:row>
    <x:row r="4" ht="30" customHeight="1">
      <x:c r="A4" s="18" t="str">
        <x:v>Rank</x:v>
      </x:c>
      <x:c r="B4" s="19" t="str">
        <x:v>Candidate ID</x:v>
      </x:c>
      <x:c r="C4" s="19" t="str">
        <x:v>Candidate</x:v>
      </x:c>
      <x:c r="D4" s="19" t="str">
        <x:v>Pipeline Score</x:v>
      </x:c>
      <x:c r="E4" s="19" t="str">
        <x:v>Adjusted Score</x:v>
      </x:c>
      <x:c r="F4" s="19" t="str">
        <x:v>Predicted Sales</x:v>
      </x:c>
      <x:c r="G4" s="19" t="str">
        <x:v>Opening Cost</x:v>
      </x:c>
      <x:c r="H4" s="19" t="str">
        <x:v>3Y ROI</x:v>
      </x:c>
      <x:c r="I4" s="19" t="str">
        <x:v>10-min Population</x:v>
      </x:c>
      <x:c r="J4" s="19" t="str">
        <x:v>Cannibalization</x:v>
      </x:c>
      <x:c r="K4" s="19" t="str">
        <x:v>market_potential</x:v>
      </x:c>
      <x:c r="L4" s="19" t="str">
        <x:v>accessibility</x:v>
      </x:c>
      <x:c r="M4" s="19" t="str">
        <x:v>commercial_attraction</x:v>
      </x:c>
      <x:c r="N4" s="19" t="str">
        <x:v>white_space</x:v>
      </x:c>
      <x:c r="O4" s="19" t="str">
        <x:v>cost_efficiency</x:v>
      </x:c>
      <x:c r="P4" s="19" t="str">
        <x:v>cannibalization_resilience</x:v>
      </x:c>
      <x:c r="Q4" s="19" t="str">
        <x:v>profitability</x:v>
      </x:c>
      <x:c r="R4" s="20" t="str">
        <x:v>delivery_confidence</x:v>
      </x:c>
    </x:row>
    <x:row r="5">
      <x:c r="A5" t="n">
        <x:f>'Candidates'!C5</x:f>
        <x:v>1</x:v>
      </x:c>
      <x:c r="B5" t="str">
        <x:f>'Candidates'!A5</x:f>
        <x:v>C24</x:v>
      </x:c>
      <x:c r="C5" t="str">
        <x:f>'Candidates'!B5</x:f>
        <x:v>Ikitelli Industry</x:v>
      </x:c>
      <x:c r="D5" s="31" t="n">
        <x:f>'Candidates'!D5</x:f>
        <x:v>81.236</x:v>
      </x:c>
      <x:c r="E5" s="31" t="n">
        <x:f>(K5*'Weights'!$E$5+L5*'Weights'!$E$6+M5*'Weights'!$E$7+N5*'Weights'!$E$8+O5*'Weights'!$E$9+P5*'Weights'!$E$10+Q5*'Weights'!$E$11+R5*'Weights'!$E$12)*100</x:f>
        <x:v>81.235938</x:v>
      </x:c>
      <x:c r="F5" s="33" t="n">
        <x:f>'Candidates'!E5</x:f>
        <x:v>183.107</x:v>
      </x:c>
      <x:c r="G5" s="33" t="n">
        <x:f>'Candidates'!Q5</x:f>
        <x:v>23.44</x:v>
      </x:c>
      <x:c r="H5" s="23" t="n">
        <x:f>'Candidates'!S5</x:f>
        <x:v>-0.160026</x:v>
      </x:c>
      <x:c r="I5" s="32" t="n">
        <x:f>'Candidates'!I5</x:f>
        <x:v>396396</x:v>
      </x:c>
      <x:c r="J5" s="23" t="n">
        <x:f>'Candidates'!P5</x:f>
        <x:v>0.010471</x:v>
      </x:c>
      <x:c r="K5" s="34" t="n">
        <x:f>'Candidates'!V5</x:f>
        <x:v>0.982857</x:v>
      </x:c>
      <x:c r="L5" s="34" t="n">
        <x:f>'Candidates'!W5</x:f>
        <x:v>0.973213</x:v>
      </x:c>
      <x:c r="M5" s="34" t="n">
        <x:f>'Candidates'!X5</x:f>
        <x:v>0.813781</x:v>
      </x:c>
      <x:c r="N5" s="34" t="n">
        <x:f>'Candidates'!Y5</x:f>
        <x:v>0.16288</x:v>
      </x:c>
      <x:c r="O5" s="34" t="n">
        <x:f>'Candidates'!Z5</x:f>
        <x:v>0.658657</x:v>
      </x:c>
      <x:c r="P5" s="34" t="n">
        <x:f>'Candidates'!AA5</x:f>
        <x:v>0.988734</x:v>
      </x:c>
      <x:c r="Q5" s="34" t="n">
        <x:f>'Candidates'!AB5</x:f>
        <x:v>0.897924</x:v>
      </x:c>
      <x:c r="R5" s="34" t="n">
        <x:f>'Candidates'!AC5</x:f>
        <x:v>0.798045</x:v>
      </x:c>
    </x:row>
    <x:row r="6">
      <x:c r="A6" t="n">
        <x:f>'Candidates'!C6</x:f>
        <x:v>2</x:v>
      </x:c>
      <x:c r="B6" t="str">
        <x:f>'Candidates'!A6</x:f>
        <x:v>C18</x:v>
      </x:c>
      <x:c r="C6" t="str">
        <x:f>'Candidates'!B6</x:f>
        <x:v>Sultanbeyli Square</x:v>
      </x:c>
      <x:c r="D6" s="31" t="n">
        <x:f>'Candidates'!D6</x:f>
        <x:v>80.521</x:v>
      </x:c>
      <x:c r="E6" s="31" t="n">
        <x:f>(K6*'Weights'!$E$5+L6*'Weights'!$E$6+M6*'Weights'!$E$7+N6*'Weights'!$E$8+O6*'Weights'!$E$9+P6*'Weights'!$E$10+Q6*'Weights'!$E$11+R6*'Weights'!$E$12)*100</x:f>
        <x:v>80.521501</x:v>
      </x:c>
      <x:c r="F6" s="33" t="n">
        <x:f>'Candidates'!E6</x:f>
        <x:v>182.32</x:v>
      </x:c>
      <x:c r="G6" s="33" t="n">
        <x:f>'Candidates'!Q6</x:f>
        <x:v>22.296</x:v>
      </x:c>
      <x:c r="H6" s="23" t="n">
        <x:f>'Candidates'!S6</x:f>
        <x:v>0.146798</x:v>
      </x:c>
      <x:c r="I6" s="32" t="n">
        <x:f>'Candidates'!I6</x:f>
        <x:v>379553</x:v>
      </x:c>
      <x:c r="J6" s="23" t="n">
        <x:f>'Candidates'!P6</x:f>
        <x:v>0.018037</x:v>
      </x:c>
      <x:c r="K6" s="34" t="n">
        <x:f>'Candidates'!V6</x:f>
        <x:v>0.975688</x:v>
      </x:c>
      <x:c r="L6" s="34" t="n">
        <x:f>'Candidates'!W6</x:f>
        <x:v>0.932107</x:v>
      </x:c>
      <x:c r="M6" s="34" t="n">
        <x:f>'Candidates'!X6</x:f>
        <x:v>0.419588</x:v>
      </x:c>
      <x:c r="N6" s="34" t="n">
        <x:f>'Candidates'!Y6</x:f>
        <x:v>0.534711</x:v>
      </x:c>
      <x:c r="O6" s="34" t="n">
        <x:f>'Candidates'!Z6</x:f>
        <x:v>0.865789</x:v>
      </x:c>
      <x:c r="P6" s="34" t="n">
        <x:f>'Candidates'!AA6</x:f>
        <x:v>0.980593</x:v>
      </x:c>
      <x:c r="Q6" s="34" t="n">
        <x:f>'Candidates'!AB6</x:f>
        <x:v>0.991398</x:v>
      </x:c>
      <x:c r="R6" s="34" t="n">
        <x:f>'Candidates'!AC6</x:f>
        <x:v>0.146897</x:v>
      </x:c>
    </x:row>
    <x:row r="7">
      <x:c r="A7" t="n">
        <x:f>'Candidates'!C7</x:f>
        <x:v>3</x:v>
      </x:c>
      <x:c r="B7" t="str">
        <x:f>'Candidates'!A7</x:f>
        <x:v>C17</x:v>
      </x:c>
      <x:c r="C7" t="str">
        <x:f>'Candidates'!B7</x:f>
        <x:v>Sancaktepe Hub</x:v>
      </x:c>
      <x:c r="D7" s="31" t="n">
        <x:f>'Candidates'!D7</x:f>
        <x:v>80.095</x:v>
      </x:c>
      <x:c r="E7" s="31" t="n">
        <x:f>(K7*'Weights'!$E$5+L7*'Weights'!$E$6+M7*'Weights'!$E$7+N7*'Weights'!$E$8+O7*'Weights'!$E$9+P7*'Weights'!$E$10+Q7*'Weights'!$E$11+R7*'Weights'!$E$12)*100</x:f>
        <x:v>80.09509600000001</x:v>
      </x:c>
      <x:c r="F7" s="33" t="n">
        <x:f>'Candidates'!E7</x:f>
        <x:v>182.183</x:v>
      </x:c>
      <x:c r="G7" s="33" t="n">
        <x:f>'Candidates'!Q7</x:f>
        <x:v>24.261</x:v>
      </x:c>
      <x:c r="H7" s="23" t="n">
        <x:f>'Candidates'!S7</x:f>
        <x:v>-0.200692</x:v>
      </x:c>
      <x:c r="I7" s="32" t="n">
        <x:f>'Candidates'!I7</x:f>
        <x:v>397428</x:v>
      </x:c>
      <x:c r="J7" s="23" t="n">
        <x:f>'Candidates'!P7</x:f>
        <x:v>0.02556</x:v>
      </x:c>
      <x:c r="K7" s="34" t="n">
        <x:f>'Candidates'!V7</x:f>
        <x:v>0.97444</x:v>
      </x:c>
      <x:c r="L7" s="34" t="n">
        <x:f>'Candidates'!W7</x:f>
        <x:v>0.975541</x:v>
      </x:c>
      <x:c r="M7" s="34" t="n">
        <x:f>'Candidates'!X7</x:f>
        <x:v>0.816693</x:v>
      </x:c>
      <x:c r="N7" s="34" t="n">
        <x:f>'Candidates'!Y7</x:f>
        <x:v>0.075847</x:v>
      </x:c>
      <x:c r="O7" s="34" t="n">
        <x:f>'Candidates'!Z7</x:f>
        <x:v>0.594663</x:v>
      </x:c>
      <x:c r="P7" s="34" t="n">
        <x:f>'Candidates'!AA7</x:f>
        <x:v>0.972499</x:v>
      </x:c>
      <x:c r="Q7" s="34" t="n">
        <x:f>'Candidates'!AB7</x:f>
        <x:v>0.885535</x:v>
      </x:c>
      <x:c r="R7" s="34" t="n">
        <x:f>'Candidates'!AC7</x:f>
        <x:v>1</x:v>
      </x:c>
    </x:row>
    <x:row r="8">
      <x:c r="A8" t="n">
        <x:f>'Candidates'!C8</x:f>
        <x:v>4</x:v>
      </x:c>
      <x:c r="B8" t="str">
        <x:f>'Candidates'!A8</x:f>
        <x:v>C07</x:v>
      </x:c>
      <x:c r="C8" t="str">
        <x:f>'Candidates'!B8</x:f>
        <x:v>Eyupsultan Hub</x:v>
      </x:c>
      <x:c r="D8" s="31" t="n">
        <x:f>'Candidates'!D8</x:f>
        <x:v>78.88</x:v>
      </x:c>
      <x:c r="E8" s="31" t="n">
        <x:f>(K8*'Weights'!$E$5+L8*'Weights'!$E$6+M8*'Weights'!$E$7+N8*'Weights'!$E$8+O8*'Weights'!$E$9+P8*'Weights'!$E$10+Q8*'Weights'!$E$11+R8*'Weights'!$E$12)*100</x:f>
        <x:v>78.880092</x:v>
      </x:c>
      <x:c r="F8" s="33" t="n">
        <x:f>'Candidates'!E8</x:f>
        <x:v>184.944</x:v>
      </x:c>
      <x:c r="G8" s="33" t="n">
        <x:f>'Candidates'!Q8</x:f>
        <x:v>23.385</x:v>
      </x:c>
      <x:c r="H8" s="23" t="n">
        <x:f>'Candidates'!S8</x:f>
        <x:v>-0.066453</x:v>
      </x:c>
      <x:c r="I8" s="32" t="n">
        <x:f>'Candidates'!I8</x:f>
        <x:v>405849</x:v>
      </x:c>
      <x:c r="J8" s="23" t="n">
        <x:f>'Candidates'!P8</x:f>
        <x:v>0.348754</x:v>
      </x:c>
      <x:c r="K8" s="34" t="n">
        <x:f>'Candidates'!V8</x:f>
        <x:v>0.99959</x:v>
      </x:c>
      <x:c r="L8" s="34" t="n">
        <x:f>'Candidates'!W8</x:f>
        <x:v>0.997217</x:v>
      </x:c>
      <x:c r="M8" s="34" t="n">
        <x:f>'Candidates'!X8</x:f>
        <x:v>0.766701</x:v>
      </x:c>
      <x:c r="N8" s="34" t="n">
        <x:f>'Candidates'!Y8</x:f>
        <x:v>0.175617</x:v>
      </x:c>
      <x:c r="O8" s="34" t="n">
        <x:f>'Candidates'!Z8</x:f>
        <x:v>0.679095</x:v>
      </x:c>
      <x:c r="P8" s="34" t="n">
        <x:f>'Candidates'!AA8</x:f>
        <x:v>0.624764</x:v>
      </x:c>
      <x:c r="Q8" s="34" t="n">
        <x:f>'Candidates'!AB8</x:f>
        <x:v>0.926431</x:v>
      </x:c>
      <x:c r="R8" s="34" t="n">
        <x:f>'Candidates'!AC8</x:f>
        <x:v>0.936639</x:v>
      </x:c>
    </x:row>
    <x:row r="9">
      <x:c r="A9" t="n">
        <x:f>'Candidates'!C9</x:f>
        <x:v>5</x:v>
      </x:c>
      <x:c r="B9" t="str">
        <x:f>'Candidates'!A9</x:f>
        <x:v>C03</x:v>
      </x:c>
      <x:c r="C9" t="str">
        <x:f>'Candidates'!B9</x:f>
        <x:v>Avcilar University</x:v>
      </x:c>
      <x:c r="D9" s="31" t="n">
        <x:f>'Candidates'!D9</x:f>
        <x:v>78.402</x:v>
      </x:c>
      <x:c r="E9" s="31" t="n">
        <x:f>(K9*'Weights'!$E$5+L9*'Weights'!$E$6+M9*'Weights'!$E$7+N9*'Weights'!$E$8+O9*'Weights'!$E$9+P9*'Weights'!$E$10+Q9*'Weights'!$E$11+R9*'Weights'!$E$12)*100</x:f>
        <x:v>78.40222999999999</x:v>
      </x:c>
      <x:c r="F9" s="33" t="n">
        <x:f>'Candidates'!E9</x:f>
        <x:v>182.37</x:v>
      </x:c>
      <x:c r="G9" s="33" t="n">
        <x:f>'Candidates'!Q9</x:f>
        <x:v>25.66</x:v>
      </x:c>
      <x:c r="H9" s="23" t="n">
        <x:f>'Candidates'!S9</x:f>
        <x:v>-0.504638</x:v>
      </x:c>
      <x:c r="I9" s="32" t="n">
        <x:f>'Candidates'!I9</x:f>
        <x:v>394377</x:v>
      </x:c>
      <x:c r="J9" s="23" t="n">
        <x:f>'Candidates'!P9</x:f>
        <x:v>0.01029</x:v>
      </x:c>
      <x:c r="K9" s="34" t="n">
        <x:f>'Candidates'!V9</x:f>
        <x:v>0.976143</x:v>
      </x:c>
      <x:c r="L9" s="34" t="n">
        <x:f>'Candidates'!W9</x:f>
        <x:v>0.967668</x:v>
      </x:c>
      <x:c r="M9" s="34" t="n">
        <x:f>'Candidates'!X9</x:f>
        <x:v>0.271613</x:v>
      </x:c>
      <x:c r="N9" s="34" t="n">
        <x:f>'Candidates'!Y9</x:f>
        <x:v>1</x:v>
      </x:c>
      <x:c r="O9" s="34" t="n">
        <x:f>'Candidates'!Z9</x:f>
        <x:v>0.392361</x:v>
      </x:c>
      <x:c r="P9" s="34" t="n">
        <x:f>'Candidates'!AA9</x:f>
        <x:v>0.988929</x:v>
      </x:c>
      <x:c r="Q9" s="34" t="n">
        <x:f>'Candidates'!AB9</x:f>
        <x:v>0.792938</x:v>
      </x:c>
      <x:c r="R9" s="34" t="n">
        <x:f>'Candidates'!AC9</x:f>
        <x:v>0.267631</x:v>
      </x:c>
    </x:row>
    <x:row r="10">
      <x:c r="A10" t="n">
        <x:f>'Candidates'!C10</x:f>
        <x:v>6</x:v>
      </x:c>
      <x:c r="B10" t="str">
        <x:f>'Candidates'!A10</x:f>
        <x:v>C05</x:v>
      </x:c>
      <x:c r="C10" t="str">
        <x:f>'Candidates'!B10</x:f>
        <x:v>Kagithane Axis</x:v>
      </x:c>
      <x:c r="D10" s="31" t="n">
        <x:f>'Candidates'!D10</x:f>
        <x:v>77.712</x:v>
      </x:c>
      <x:c r="E10" s="31" t="n">
        <x:f>(K10*'Weights'!$E$5+L10*'Weights'!$E$6+M10*'Weights'!$E$7+N10*'Weights'!$E$8+O10*'Weights'!$E$9+P10*'Weights'!$E$10+Q10*'Weights'!$E$11+R10*'Weights'!$E$12)*100</x:f>
        <x:v>77.711544</x:v>
      </x:c>
      <x:c r="F10" s="33" t="n">
        <x:f>'Candidates'!E10</x:f>
        <x:v>183.456</x:v>
      </x:c>
      <x:c r="G10" s="33" t="n">
        <x:f>'Candidates'!Q10</x:f>
        <x:v>21.967</x:v>
      </x:c>
      <x:c r="H10" s="23" t="n">
        <x:f>'Candidates'!S10</x:f>
        <x:v>0.175035</x:v>
      </x:c>
      <x:c r="I10" s="32" t="n">
        <x:f>'Candidates'!I10</x:f>
        <x:v>404027</x:v>
      </x:c>
      <x:c r="J10" s="23" t="n">
        <x:f>'Candidates'!P10</x:f>
        <x:v>0.609962</x:v>
      </x:c>
      <x:c r="K10" s="34" t="n">
        <x:f>'Candidates'!V10</x:f>
        <x:v>0.986036</x:v>
      </x:c>
      <x:c r="L10" s="34" t="n">
        <x:f>'Candidates'!W10</x:f>
        <x:v>0.991836</x:v>
      </x:c>
      <x:c r="M10" s="34" t="n">
        <x:f>'Candidates'!X10</x:f>
        <x:v>0.938679</x:v>
      </x:c>
      <x:c r="N10" s="34" t="n">
        <x:f>'Candidates'!Y10</x:f>
        <x:v>0.05008</x:v>
      </x:c>
      <x:c r="O10" s="34" t="n">
        <x:f>'Candidates'!Z10</x:f>
        <x:v>0.889324</x:v>
      </x:c>
      <x:c r="P10" s="34" t="n">
        <x:f>'Candidates'!AA10</x:f>
        <x:v>0.343722</x:v>
      </x:c>
      <x:c r="Q10" s="34" t="n">
        <x:f>'Candidates'!AB10</x:f>
        <x:v>1</x:v>
      </x:c>
      <x:c r="R10" s="34" t="n">
        <x:f>'Candidates'!AC10</x:f>
        <x:v>0.710913</x:v>
      </x:c>
    </x:row>
    <x:row r="11">
      <x:c r="A11" t="n">
        <x:f>'Candidates'!C11</x:f>
        <x:v>7</x:v>
      </x:c>
      <x:c r="B11" t="str">
        <x:f>'Candidates'!A11</x:f>
        <x:v>C01</x:v>
      </x:c>
      <x:c r="C11" t="str">
        <x:f>'Candidates'!B11</x:f>
        <x:v>Bahcelievler Metro</x:v>
      </x:c>
      <x:c r="D11" s="31" t="n">
        <x:f>'Candidates'!D11</x:f>
        <x:v>74.67</x:v>
      </x:c>
      <x:c r="E11" s="31" t="n">
        <x:f>(K11*'Weights'!$E$5+L11*'Weights'!$E$6+M11*'Weights'!$E$7+N11*'Weights'!$E$8+O11*'Weights'!$E$9+P11*'Weights'!$E$10+Q11*'Weights'!$E$11+R11*'Weights'!$E$12)*100</x:f>
        <x:v>74.670324</x:v>
      </x:c>
      <x:c r="F11" s="33" t="n">
        <x:f>'Candidates'!E11</x:f>
        <x:v>183.858</x:v>
      </x:c>
      <x:c r="G11" s="33" t="n">
        <x:f>'Candidates'!Q11</x:f>
        <x:v>24.053</x:v>
      </x:c>
      <x:c r="H11" s="23" t="n">
        <x:f>'Candidates'!S11</x:f>
        <x:v>-0.314015</x:v>
      </x:c>
      <x:c r="I11" s="32" t="n">
        <x:f>'Candidates'!I11</x:f>
        <x:v>405561</x:v>
      </x:c>
      <x:c r="J11" s="23" t="n">
        <x:f>'Candidates'!P11</x:f>
        <x:v>0.535299</x:v>
      </x:c>
      <x:c r="K11" s="34" t="n">
        <x:f>'Candidates'!V11</x:f>
        <x:v>0.989698</x:v>
      </x:c>
      <x:c r="L11" s="34" t="n">
        <x:f>'Candidates'!W11</x:f>
        <x:v>0.996567</x:v>
      </x:c>
      <x:c r="M11" s="34" t="n">
        <x:f>'Candidates'!X11</x:f>
        <x:v>0.952646</x:v>
      </x:c>
      <x:c r="N11" s="34" t="n">
        <x:f>'Candidates'!Y11</x:f>
        <x:v>0.179846</x:v>
      </x:c>
      <x:c r="O11" s="34" t="n">
        <x:f>'Candidates'!Z11</x:f>
        <x:v>0.55359</x:v>
      </x:c>
      <x:c r="P11" s="34" t="n">
        <x:f>'Candidates'!AA11</x:f>
        <x:v>0.424054</x:v>
      </x:c>
      <x:c r="Q11" s="34" t="n">
        <x:f>'Candidates'!AB11</x:f>
        <x:v>0.851011</x:v>
      </x:c>
      <x:c r="R11" s="34" t="n">
        <x:f>'Candidates'!AC11</x:f>
        <x:v>0.611574</x:v>
      </x:c>
    </x:row>
    <x:row r="12">
      <x:c r="A12" t="n">
        <x:f>'Candidates'!C12</x:f>
        <x:v>8</x:v>
      </x:c>
      <x:c r="B12" t="str">
        <x:f>'Candidates'!A12</x:f>
        <x:v>C15</x:v>
      </x:c>
      <x:c r="C12" t="str">
        <x:f>'Candidates'!B12</x:f>
        <x:v>Pendik Marina</x:v>
      </x:c>
      <x:c r="D12" s="31" t="n">
        <x:f>'Candidates'!D12</x:f>
        <x:v>74.183</x:v>
      </x:c>
      <x:c r="E12" s="31" t="n">
        <x:f>(K12*'Weights'!$E$5+L12*'Weights'!$E$6+M12*'Weights'!$E$7+N12*'Weights'!$E$8+O12*'Weights'!$E$9+P12*'Weights'!$E$10+Q12*'Weights'!$E$11+R12*'Weights'!$E$12)*100</x:f>
        <x:v>74.18310699999999</x:v>
      </x:c>
      <x:c r="F12" s="33" t="n">
        <x:f>'Candidates'!E12</x:f>
        <x:v>177.554</x:v>
      </x:c>
      <x:c r="G12" s="33" t="n">
        <x:f>'Candidates'!Q12</x:f>
        <x:v>23.887</x:v>
      </x:c>
      <x:c r="H12" s="23" t="n">
        <x:f>'Candidates'!S12</x:f>
        <x:v>-0.296689</x:v>
      </x:c>
      <x:c r="I12" s="32" t="n">
        <x:f>'Candidates'!I12</x:f>
        <x:v>345124</x:v>
      </x:c>
      <x:c r="J12" s="23" t="n">
        <x:f>'Candidates'!P12</x:f>
        <x:v>0.023205</x:v>
      </x:c>
      <x:c r="K12" s="34" t="n">
        <x:f>'Candidates'!V12</x:f>
        <x:v>0.932274</x:v>
      </x:c>
      <x:c r="L12" s="34" t="n">
        <x:f>'Candidates'!W12</x:f>
        <x:v>0.847184</x:v>
      </x:c>
      <x:c r="M12" s="34" t="n">
        <x:f>'Candidates'!X12</x:f>
        <x:v>0.591993</x:v>
      </x:c>
      <x:c r="N12" s="34" t="n">
        <x:f>'Candidates'!Y12</x:f>
        <x:v>0.279077</x:v>
      </x:c>
      <x:c r="O12" s="34" t="n">
        <x:f>'Candidates'!Z12</x:f>
        <x:v>0.629263</x:v>
      </x:c>
      <x:c r="P12" s="34" t="n">
        <x:f>'Candidates'!AA12</x:f>
        <x:v>0.975033</x:v>
      </x:c>
      <x:c r="Q12" s="34" t="n">
        <x:f>'Candidates'!AB12</x:f>
        <x:v>0.85629</x:v>
      </x:c>
      <x:c r="R12" s="34" t="n">
        <x:f>'Candidates'!AC12</x:f>
        <x:v>0.404487</x:v>
      </x:c>
    </x:row>
    <x:row r="13">
      <x:c r="A13" t="n">
        <x:f>'Candidates'!C13</x:f>
        <x:v>9</x:v>
      </x:c>
      <x:c r="B13" t="str">
        <x:f>'Candidates'!A13</x:f>
        <x:v>C04</x:v>
      </x:c>
      <x:c r="C13" t="str">
        <x:f>'Candidates'!B13</x:f>
        <x:v>Esenyurt Square</x:v>
      </x:c>
      <x:c r="D13" s="31" t="n">
        <x:f>'Candidates'!D13</x:f>
        <x:v>74.17</x:v>
      </x:c>
      <x:c r="E13" s="31" t="n">
        <x:f>(K13*'Weights'!$E$5+L13*'Weights'!$E$6+M13*'Weights'!$E$7+N13*'Weights'!$E$8+O13*'Weights'!$E$9+P13*'Weights'!$E$10+Q13*'Weights'!$E$11+R13*'Weights'!$E$12)*100</x:f>
        <x:v>74.17001299999998</x:v>
      </x:c>
      <x:c r="F13" s="33" t="n">
        <x:f>'Candidates'!E13</x:f>
        <x:v>166.92</x:v>
      </x:c>
      <x:c r="G13" s="33" t="n">
        <x:f>'Candidates'!Q13</x:f>
        <x:v>23.259</x:v>
      </x:c>
      <x:c r="H13" s="23" t="n">
        <x:f>'Candidates'!S13</x:f>
        <x:v>-0.404747</x:v>
      </x:c>
      <x:c r="I13" s="32" t="n">
        <x:f>'Candidates'!I13</x:f>
        <x:v>338452</x:v>
      </x:c>
      <x:c r="J13" s="23" t="n">
        <x:f>'Candidates'!P13</x:f>
        <x:v>0.00302</x:v>
      </x:c>
      <x:c r="K13" s="34" t="n">
        <x:f>'Candidates'!V13</x:f>
        <x:v>0.835409</x:v>
      </x:c>
      <x:c r="L13" s="34" t="n">
        <x:f>'Candidates'!W13</x:f>
        <x:v>0.829889</x:v>
      </x:c>
      <x:c r="M13" s="34" t="n">
        <x:f>'Candidates'!X13</x:f>
        <x:v>1</x:v>
      </x:c>
      <x:c r="N13" s="34" t="n">
        <x:f>'Candidates'!Y13</x:f>
        <x:v>0.09316</x:v>
      </x:c>
      <x:c r="O13" s="34" t="n">
        <x:f>'Candidates'!Z13</x:f>
        <x:v>0.739516</x:v>
      </x:c>
      <x:c r="P13" s="34" t="n">
        <x:f>'Candidates'!AA13</x:f>
        <x:v>0.996751</x:v>
      </x:c>
      <x:c r="Q13" s="34" t="n">
        <x:f>'Candidates'!AB13</x:f>
        <x:v>0.82337</x:v>
      </x:c>
      <x:c r="R13" s="34" t="n">
        <x:f>'Candidates'!AC13</x:f>
        <x:v>0.265224</x:v>
      </x:c>
    </x:row>
    <x:row r="14">
      <x:c r="A14" t="n">
        <x:f>'Candidates'!C14</x:f>
        <x:v>10</x:v>
      </x:c>
      <x:c r="B14" t="str">
        <x:f>'Candidates'!A14</x:f>
        <x:v>C06</x:v>
      </x:c>
      <x:c r="C14" t="str">
        <x:f>'Candidates'!B14</x:f>
        <x:v>Basaksehir Center</x:v>
      </x:c>
      <x:c r="D14" s="31" t="n">
        <x:f>'Candidates'!D14</x:f>
        <x:v>73.694</x:v>
      </x:c>
      <x:c r="E14" s="31" t="n">
        <x:f>(K14*'Weights'!$E$5+L14*'Weights'!$E$6+M14*'Weights'!$E$7+N14*'Weights'!$E$8+O14*'Weights'!$E$9+P14*'Weights'!$E$10+Q14*'Weights'!$E$11+R14*'Weights'!$E$12)*100</x:f>
        <x:v>73.693815</x:v>
      </x:c>
      <x:c r="F14" s="33" t="n">
        <x:f>'Candidates'!E14</x:f>
        <x:v>183.362</x:v>
      </x:c>
      <x:c r="G14" s="33" t="n">
        <x:f>'Candidates'!Q14</x:f>
        <x:v>28.231</x:v>
      </x:c>
      <x:c r="H14" s="23" t="n">
        <x:f>'Candidates'!S14</x:f>
        <x:v>-1.021572</x:v>
      </x:c>
      <x:c r="I14" s="32" t="n">
        <x:f>'Candidates'!I14</x:f>
        <x:v>389561</x:v>
      </x:c>
      <x:c r="J14" s="23" t="n">
        <x:f>'Candidates'!P14</x:f>
        <x:v>0.005417</x:v>
      </x:c>
      <x:c r="K14" s="34" t="n">
        <x:f>'Candidates'!V14</x:f>
        <x:v>0.98518</x:v>
      </x:c>
      <x:c r="L14" s="34" t="n">
        <x:f>'Candidates'!W14</x:f>
        <x:v>0.956599</x:v>
      </x:c>
      <x:c r="M14" s="34" t="n">
        <x:f>'Candidates'!X14</x:f>
        <x:v>0.974263</x:v>
      </x:c>
      <x:c r="N14" s="34" t="n">
        <x:f>'Candidates'!Y14</x:f>
        <x:v>0.281475</x:v>
      </x:c>
      <x:c r="O14" s="34" t="n">
        <x:f>'Candidates'!Z14</x:f>
        <x:v>0.062501</x:v>
      </x:c>
      <x:c r="P14" s="34" t="n">
        <x:f>'Candidates'!AA14</x:f>
        <x:v>0.994172</x:v>
      </x:c>
      <x:c r="Q14" s="34" t="n">
        <x:f>'Candidates'!AB14</x:f>
        <x:v>0.635455</x:v>
      </x:c>
      <x:c r="R14" s="34" t="n">
        <x:f>'Candidates'!AC14</x:f>
        <x:v>0.553856</x:v>
      </x:c>
    </x:row>
    <x:row r="15">
      <x:c r="A15" t="n">
        <x:f>'Candidates'!C15</x:f>
        <x:v>11</x:v>
      </x:c>
      <x:c r="B15" t="str">
        <x:f>'Candidates'!A15</x:f>
        <x:v>C02</x:v>
      </x:c>
      <x:c r="C15" t="str">
        <x:f>'Candidates'!B15</x:f>
        <x:v>Beylikduzu Marina</x:v>
      </x:c>
      <x:c r="D15" s="31" t="n">
        <x:f>'Candidates'!D15</x:f>
        <x:v>72.787</x:v>
      </x:c>
      <x:c r="E15" s="31" t="n">
        <x:f>(K15*'Weights'!$E$5+L15*'Weights'!$E$6+M15*'Weights'!$E$7+N15*'Weights'!$E$8+O15*'Weights'!$E$9+P15*'Weights'!$E$10+Q15*'Weights'!$E$11+R15*'Weights'!$E$12)*100</x:f>
        <x:v>72.78744600000002</x:v>
      </x:c>
      <x:c r="F15" s="33" t="n">
        <x:f>'Candidates'!E15</x:f>
        <x:v>169.162</x:v>
      </x:c>
      <x:c r="G15" s="33" t="n">
        <x:f>'Candidates'!Q15</x:f>
        <x:v>23.812</x:v>
      </x:c>
      <x:c r="H15" s="23" t="n">
        <x:f>'Candidates'!S15</x:f>
        <x:v>-0.534856</x:v>
      </x:c>
      <x:c r="I15" s="32" t="n">
        <x:f>'Candidates'!I15</x:f>
        <x:v>328230</x:v>
      </x:c>
      <x:c r="J15" s="23" t="n">
        <x:f>'Candidates'!P15</x:f>
        <x:v>0.001689</x:v>
      </x:c>
      <x:c r="K15" s="34" t="n">
        <x:f>'Candidates'!V15</x:f>
        <x:v>0.855831</x:v>
      </x:c>
      <x:c r="L15" s="34" t="n">
        <x:f>'Candidates'!W15</x:f>
        <x:v>0.803682</x:v>
      </x:c>
      <x:c r="M15" s="34" t="n">
        <x:f>'Candidates'!X15</x:f>
        <x:v>0.747835</x:v>
      </x:c>
      <x:c r="N15" s="34" t="n">
        <x:f>'Candidates'!Y15</x:f>
        <x:v>0.232922</x:v>
      </x:c>
      <x:c r="O15" s="34" t="n">
        <x:f>'Candidates'!Z15</x:f>
        <x:v>0.626951</x:v>
      </x:c>
      <x:c r="P15" s="34" t="n">
        <x:f>'Candidates'!AA15</x:f>
        <x:v>0.998183</x:v>
      </x:c>
      <x:c r="Q15" s="34" t="n">
        <x:f>'Candidates'!AB15</x:f>
        <x:v>0.783732</x:v>
      </x:c>
      <x:c r="R15" s="34" t="n">
        <x:f>'Candidates'!AC15</x:f>
        <x:v>0.517763</x:v>
      </x:c>
    </x:row>
    <x:row r="16">
      <x:c r="A16" t="n">
        <x:f>'Candidates'!C16</x:f>
        <x:v>12</x:v>
      </x:c>
      <x:c r="B16" t="str">
        <x:f>'Candidates'!A16</x:f>
        <x:v>C20</x:v>
      </x:c>
      <x:c r="C16" t="str">
        <x:f>'Candidates'!B16</x:f>
        <x:v>Buyukcekmece Center</x:v>
      </x:c>
      <x:c r="D16" s="31" t="n">
        <x:f>'Candidates'!D16</x:f>
        <x:v>72.693</x:v>
      </x:c>
      <x:c r="E16" s="31" t="n">
        <x:f>(K16*'Weights'!$E$5+L16*'Weights'!$E$6+M16*'Weights'!$E$7+N16*'Weights'!$E$8+O16*'Weights'!$E$9+P16*'Weights'!$E$10+Q16*'Weights'!$E$11+R16*'Weights'!$E$12)*100</x:f>
        <x:v>72.693236</x:v>
      </x:c>
      <x:c r="F16" s="33" t="n">
        <x:f>'Candidates'!E16</x:f>
        <x:v>162.885</x:v>
      </x:c>
      <x:c r="G16" s="33" t="n">
        <x:f>'Candidates'!Q16</x:f>
        <x:v>24.559</x:v>
      </x:c>
      <x:c r="H16" s="23" t="n">
        <x:f>'Candidates'!S16</x:f>
        <x:v>-0.75679</x:v>
      </x:c>
      <x:c r="I16" s="32" t="n">
        <x:f>'Candidates'!I16</x:f>
        <x:v>286548</x:v>
      </x:c>
      <x:c r="J16" s="23" t="n">
        <x:f>'Candidates'!P16</x:f>
        <x:v>0.000437</x:v>
      </x:c>
      <x:c r="K16" s="34" t="n">
        <x:f>'Candidates'!V16</x:f>
        <x:v>0.798654</x:v>
      </x:c>
      <x:c r="L16" s="34" t="n">
        <x:f>'Candidates'!W16</x:f>
        <x:v>0.689519</x:v>
      </x:c>
      <x:c r="M16" s="34" t="n">
        <x:f>'Candidates'!X16</x:f>
        <x:v>0.358704</x:v>
      </x:c>
      <x:c r="N16" s="34" t="n">
        <x:f>'Candidates'!Y16</x:f>
        <x:v>0.988406</x:v>
      </x:c>
      <x:c r="O16" s="34" t="n">
        <x:f>'Candidates'!Z16</x:f>
        <x:v>0.547965</x:v>
      </x:c>
      <x:c r="P16" s="34" t="n">
        <x:f>'Candidates'!AA16</x:f>
        <x:v>0.99953</x:v>
      </x:c>
      <x:c r="Q16" s="34" t="n">
        <x:f>'Candidates'!AB16</x:f>
        <x:v>0.716121</x:v>
      </x:c>
      <x:c r="R16" s="34" t="n">
        <x:f>'Candidates'!AC16</x:f>
        <x:v>0.478148</x:v>
      </x:c>
    </x:row>
    <x:row r="17">
      <x:c r="A17" t="n">
        <x:f>'Candidates'!C17</x:f>
        <x:v>13</x:v>
      </x:c>
      <x:c r="B17" t="str">
        <x:f>'Candidates'!A17</x:f>
        <x:v>C09</x:v>
      </x:c>
      <x:c r="C17" t="str">
        <x:f>'Candidates'!B17</x:f>
        <x:v>Zeytinburnu Transit</x:v>
      </x:c>
      <x:c r="D17" s="31" t="n">
        <x:f>'Candidates'!D17</x:f>
        <x:v>72.524</x:v>
      </x:c>
      <x:c r="E17" s="31" t="n">
        <x:f>(K17*'Weights'!$E$5+L17*'Weights'!$E$6+M17*'Weights'!$E$7+N17*'Weights'!$E$8+O17*'Weights'!$E$9+P17*'Weights'!$E$10+Q17*'Weights'!$E$11+R17*'Weights'!$E$12)*100</x:f>
        <x:v>72.523698</x:v>
      </x:c>
      <x:c r="F17" s="33" t="n">
        <x:f>'Candidates'!E17</x:f>
        <x:v>184.896</x:v>
      </x:c>
      <x:c r="G17" s="33" t="n">
        <x:f>'Candidates'!Q17</x:f>
        <x:v>24.695</x:v>
      </x:c>
      <x:c r="H17" s="23" t="n">
        <x:f>'Candidates'!S17</x:f>
        <x:v>-0.414335</x:v>
      </x:c>
      <x:c r="I17" s="32" t="n">
        <x:f>'Candidates'!I17</x:f>
        <x:v>404165</x:v>
      </x:c>
      <x:c r="J17" s="23" t="n">
        <x:f>'Candidates'!P17</x:f>
        <x:v>0.454724</x:v>
      </x:c>
      <x:c r="K17" s="34" t="n">
        <x:f>'Candidates'!V17</x:f>
        <x:v>0.999153</x:v>
      </x:c>
      <x:c r="L17" s="34" t="n">
        <x:f>'Candidates'!W17</x:f>
        <x:v>0.991942</x:v>
      </x:c>
      <x:c r="M17" s="34" t="n">
        <x:f>'Candidates'!X17</x:f>
        <x:v>0.781028</x:v>
      </x:c>
      <x:c r="N17" s="34" t="n">
        <x:f>'Candidates'!Y17</x:f>
        <x:v>0.102681</x:v>
      </x:c>
      <x:c r="O17" s="34" t="n">
        <x:f>'Candidates'!Z17</x:f>
        <x:v>0.466017</x:v>
      </x:c>
      <x:c r="P17" s="34" t="n">
        <x:f>'Candidates'!AA17</x:f>
        <x:v>0.510747</x:v>
      </x:c>
      <x:c r="Q17" s="34" t="n">
        <x:f>'Candidates'!AB17</x:f>
        <x:v>0.820449</x:v>
      </x:c>
      <x:c r="R17" s="34" t="n">
        <x:f>'Candidates'!AC17</x:f>
        <x:v>0.779269</x:v>
      </x:c>
    </x:row>
    <x:row r="18">
      <x:c r="A18" t="n">
        <x:f>'Candidates'!C18</x:f>
        <x:v>14</x:v>
      </x:c>
      <x:c r="B18" t="str">
        <x:f>'Candidates'!A18</x:f>
        <x:v>C10</x:v>
      </x:c>
      <x:c r="C18" t="str">
        <x:f>'Candidates'!B18</x:f>
        <x:v>Bayrampasa Forum</x:v>
      </x:c>
      <x:c r="D18" s="31" t="n">
        <x:f>'Candidates'!D18</x:f>
        <x:v>72.326</x:v>
      </x:c>
      <x:c r="E18" s="31" t="n">
        <x:f>(K18*'Weights'!$E$5+L18*'Weights'!$E$6+M18*'Weights'!$E$7+N18*'Weights'!$E$8+O18*'Weights'!$E$9+P18*'Weights'!$E$10+Q18*'Weights'!$E$11+R18*'Weights'!$E$12)*100</x:f>
        <x:v>72.325684</x:v>
      </x:c>
      <x:c r="F18" s="33" t="n">
        <x:f>'Candidates'!E18</x:f>
        <x:v>184.989</x:v>
      </x:c>
      <x:c r="G18" s="33" t="n">
        <x:f>'Candidates'!Q18</x:f>
        <x:v>24.456</x:v>
      </x:c>
      <x:c r="H18" s="23" t="n">
        <x:f>'Candidates'!S18</x:f>
        <x:v>-0.343842</x:v>
      </x:c>
      <x:c r="I18" s="32" t="n">
        <x:f>'Candidates'!I18</x:f>
        <x:v>406706</x:v>
      </x:c>
      <x:c r="J18" s="23" t="n">
        <x:f>'Candidates'!P18</x:f>
        <x:v>0.086946</x:v>
      </x:c>
      <x:c r="K18" s="34" t="n">
        <x:f>'Candidates'!V18</x:f>
        <x:v>1</x:v>
      </x:c>
      <x:c r="L18" s="34" t="n">
        <x:f>'Candidates'!W18</x:f>
        <x:v>1</x:v>
      </x:c>
      <x:c r="M18" s="34" t="n">
        <x:f>'Candidates'!X18</x:f>
        <x:v>0.238495</x:v>
      </x:c>
      <x:c r="N18" s="34" t="n">
        <x:f>'Candidates'!Y18</x:f>
        <x:v>0.396196</x:v>
      </x:c>
      <x:c r="O18" s="34" t="n">
        <x:f>'Candidates'!Z18</x:f>
        <x:v>0.505561</x:v>
      </x:c>
      <x:c r="P18" s="34" t="n">
        <x:f>'Candidates'!AA18</x:f>
        <x:v>0.906452</x:v>
      </x:c>
      <x:c r="Q18" s="34" t="n">
        <x:f>'Candidates'!AB18</x:f>
        <x:v>0.841925</x:v>
      </x:c>
      <x:c r="R18" s="34" t="n">
        <x:f>'Candidates'!AC18</x:f>
        <x:v>0.195256</x:v>
      </x:c>
    </x:row>
    <x:row r="19">
      <x:c r="A19" t="n">
        <x:f>'Candidates'!C19</x:f>
        <x:v>15</x:v>
      </x:c>
      <x:c r="B19" t="str">
        <x:f>'Candidates'!A19</x:f>
        <x:v>C16</x:v>
      </x:c>
      <x:c r="C19" t="str">
        <x:f>'Candidates'!B19</x:f>
        <x:v>Cekmekoy Center</x:v>
      </x:c>
      <x:c r="D19" s="31" t="n">
        <x:f>'Candidates'!D19</x:f>
        <x:v>68.818</x:v>
      </x:c>
      <x:c r="E19" s="31" t="n">
        <x:f>(K19*'Weights'!$E$5+L19*'Weights'!$E$6+M19*'Weights'!$E$7+N19*'Weights'!$E$8+O19*'Weights'!$E$9+P19*'Weights'!$E$10+Q19*'Weights'!$E$11+R19*'Weights'!$E$12)*100</x:f>
        <x:v>68.81767299999998</x:v>
      </x:c>
      <x:c r="F19" s="33" t="n">
        <x:f>'Candidates'!E19</x:f>
        <x:v>184.949</x:v>
      </x:c>
      <x:c r="G19" s="33" t="n">
        <x:f>'Candidates'!Q19</x:f>
        <x:v>27.071</x:v>
      </x:c>
      <x:c r="H19" s="23" t="n">
        <x:f>'Candidates'!S19</x:f>
        <x:v>-0.887518</x:v>
      </x:c>
      <x:c r="I19" s="32" t="n">
        <x:f>'Candidates'!I19</x:f>
        <x:v>404863</x:v>
      </x:c>
      <x:c r="J19" s="23" t="n">
        <x:f>'Candidates'!P19</x:f>
        <x:v>0.312443</x:v>
      </x:c>
      <x:c r="K19" s="34" t="n">
        <x:f>'Candidates'!V19</x:f>
        <x:v>0.999636</x:v>
      </x:c>
      <x:c r="L19" s="34" t="n">
        <x:f>'Candidates'!W19</x:f>
        <x:v>0.994656</x:v>
      </x:c>
      <x:c r="M19" s="34" t="n">
        <x:f>'Candidates'!X19</x:f>
        <x:v>0.557333</x:v>
      </x:c>
      <x:c r="N19" s="34" t="n">
        <x:f>'Candidates'!Y19</x:f>
        <x:v>0.371209</x:v>
      </x:c>
      <x:c r="O19" s="34" t="n">
        <x:f>'Candidates'!Z19</x:f>
        <x:v>0.160953</x:v>
      </x:c>
      <x:c r="P19" s="34" t="n">
        <x:f>'Candidates'!AA19</x:f>
        <x:v>0.663832</x:v>
      </x:c>
      <x:c r="Q19" s="34" t="n">
        <x:f>'Candidates'!AB19</x:f>
        <x:v>0.676294</x:v>
      </x:c>
      <x:c r="R19" s="34" t="n">
        <x:f>'Candidates'!AC19</x:f>
        <x:v>0.523506</x:v>
      </x:c>
    </x:row>
    <x:row r="20">
      <x:c r="A20" t="n">
        <x:f>'Candidates'!C20</x:f>
        <x:v>16</x:v>
      </x:c>
      <x:c r="B20" t="str">
        <x:f>'Candidates'!A20</x:f>
        <x:v>C14</x:v>
      </x:c>
      <x:c r="C20" t="str">
        <x:f>'Candidates'!B20</x:f>
        <x:v>Kartal Junction</x:v>
      </x:c>
      <x:c r="D20" s="31" t="n">
        <x:f>'Candidates'!D20</x:f>
        <x:v>67.701</x:v>
      </x:c>
      <x:c r="E20" s="31" t="n">
        <x:f>(K20*'Weights'!$E$5+L20*'Weights'!$E$6+M20*'Weights'!$E$7+N20*'Weights'!$E$8+O20*'Weights'!$E$9+P20*'Weights'!$E$10+Q20*'Weights'!$E$11+R20*'Weights'!$E$12)*100</x:f>
        <x:v>67.701075</x:v>
      </x:c>
      <x:c r="F20" s="33" t="n">
        <x:f>'Candidates'!E20</x:f>
        <x:v>183.238</x:v>
      </x:c>
      <x:c r="G20" s="33" t="n">
        <x:f>'Candidates'!Q20</x:f>
        <x:v>27.287</x:v>
      </x:c>
      <x:c r="H20" s="23" t="n">
        <x:f>'Candidates'!S20</x:f>
        <x:v>-0.899513</x:v>
      </x:c>
      <x:c r="I20" s="32" t="n">
        <x:f>'Candidates'!I20</x:f>
        <x:v>379342</x:v>
      </x:c>
      <x:c r="J20" s="23" t="n">
        <x:f>'Candidates'!P20</x:f>
        <x:v>0.220433</x:v>
      </x:c>
      <x:c r="K20" s="34" t="n">
        <x:f>'Candidates'!V20</x:f>
        <x:v>0.98405</x:v>
      </x:c>
      <x:c r="L20" s="34" t="n">
        <x:f>'Candidates'!W20</x:f>
        <x:v>0.932201</x:v>
      </x:c>
      <x:c r="M20" s="34" t="n">
        <x:f>'Candidates'!X20</x:f>
        <x:v>0.860375</x:v>
      </x:c>
      <x:c r="N20" s="34" t="n">
        <x:f>'Candidates'!Y20</x:f>
        <x:v>0.069208</x:v>
      </x:c>
      <x:c r="O20" s="34" t="n">
        <x:f>'Candidates'!Z20</x:f>
        <x:v>0.156116</x:v>
      </x:c>
      <x:c r="P20" s="34" t="n">
        <x:f>'Candidates'!AA20</x:f>
        <x:v>0.762829</x:v>
      </x:c>
      <x:c r="Q20" s="34" t="n">
        <x:f>'Candidates'!AB20</x:f>
        <x:v>0.67264</x:v>
      </x:c>
      <x:c r="R20" s="34" t="n">
        <x:f>'Candidates'!AC20</x:f>
        <x:v>0.418738</x:v>
      </x:c>
    </x:row>
    <x:row r="21">
      <x:c r="A21" t="n">
        <x:f>'Candidates'!C21</x:f>
        <x:v>17</x:v>
      </x:c>
      <x:c r="B21" t="str">
        <x:f>'Candidates'!A21</x:f>
        <x:v>C13</x:v>
      </x:c>
      <x:c r="C21" t="str">
        <x:f>'Candidates'!B21</x:f>
        <x:v>Maltepe Coastal</x:v>
      </x:c>
      <x:c r="D21" s="31" t="n">
        <x:f>'Candidates'!D21</x:f>
        <x:v>66.916</x:v>
      </x:c>
      <x:c r="E21" s="31" t="n">
        <x:f>(K21*'Weights'!$E$5+L21*'Weights'!$E$6+M21*'Weights'!$E$7+N21*'Weights'!$E$8+O21*'Weights'!$E$9+P21*'Weights'!$E$10+Q21*'Weights'!$E$11+R21*'Weights'!$E$12)*100</x:f>
        <x:v>66.91630599999999</x:v>
      </x:c>
      <x:c r="F21" s="33" t="n">
        <x:f>'Candidates'!E21</x:f>
        <x:v>175.512</x:v>
      </x:c>
      <x:c r="G21" s="33" t="n">
        <x:f>'Candidates'!Q21</x:f>
        <x:v>23.394</x:v>
      </x:c>
      <x:c r="H21" s="23" t="n">
        <x:f>'Candidates'!S21</x:f>
        <x:v>-0.357912</x:v>
      </x:c>
      <x:c r="I21" s="32" t="n">
        <x:f>'Candidates'!I21</x:f>
        <x:v>339585</x:v>
      </x:c>
      <x:c r="J21" s="23" t="n">
        <x:f>'Candidates'!P21</x:f>
        <x:v>0.678861</x:v>
      </x:c>
      <x:c r="K21" s="34" t="n">
        <x:f>'Candidates'!V21</x:f>
        <x:v>0.913674</x:v>
      </x:c>
      <x:c r="L21" s="34" t="n">
        <x:f>'Candidates'!W21</x:f>
        <x:v>0.832606</x:v>
      </x:c>
      <x:c r="M21" s="34" t="n">
        <x:f>'Candidates'!X21</x:f>
        <x:v>0.727619</x:v>
      </x:c>
      <x:c r="N21" s="34" t="n">
        <x:f>'Candidates'!Y21</x:f>
        <x:v>0.057525</x:v>
      </x:c>
      <x:c r="O21" s="34" t="n">
        <x:f>'Candidates'!Z21</x:f>
        <x:v>0.662596</x:v>
      </x:c>
      <x:c r="P21" s="34" t="n">
        <x:f>'Candidates'!AA21</x:f>
        <x:v>0.269591</x:v>
      </x:c>
      <x:c r="Q21" s="34" t="n">
        <x:f>'Candidates'!AB21</x:f>
        <x:v>0.837638</x:v>
      </x:c>
      <x:c r="R21" s="34" t="n">
        <x:f>'Candidates'!AC21</x:f>
        <x:v>0.84757</x:v>
      </x:c>
    </x:row>
    <x:row r="22">
      <x:c r="A22" t="n">
        <x:f>'Candidates'!C22</x:f>
        <x:v>18</x:v>
      </x:c>
      <x:c r="B22" t="str">
        <x:f>'Candidates'!A22</x:f>
        <x:v>C23</x:v>
      </x:c>
      <x:c r="C22" t="str">
        <x:f>'Candidates'!B22</x:f>
        <x:v>Gokturk Center</x:v>
      </x:c>
      <x:c r="D22" s="31" t="n">
        <x:f>'Candidates'!D22</x:f>
        <x:v>57.022</x:v>
      </x:c>
      <x:c r="E22" s="31" t="n">
        <x:f>(K22*'Weights'!$E$5+L22*'Weights'!$E$6+M22*'Weights'!$E$7+N22*'Weights'!$E$8+O22*'Weights'!$E$9+P22*'Weights'!$E$10+Q22*'Weights'!$E$11+R22*'Weights'!$E$12)*100</x:f>
        <x:v>57.022063</x:v>
      </x:c>
      <x:c r="F22" s="33" t="n">
        <x:f>'Candidates'!E22</x:f>
        <x:v>147.353</x:v>
      </x:c>
      <x:c r="G22" s="33" t="n">
        <x:f>'Candidates'!Q22</x:f>
        <x:v>24.435</x:v>
      </x:c>
      <x:c r="H22" s="23" t="n">
        <x:f>'Candidates'!S22</x:f>
        <x:v>-1.244567</x:v>
      </x:c>
      <x:c r="I22" s="32" t="n">
        <x:f>'Candidates'!I22</x:f>
        <x:v>243139</x:v>
      </x:c>
      <x:c r="J22" s="23" t="n">
        <x:f>'Candidates'!P22</x:f>
        <x:v>0.005367</x:v>
      </x:c>
      <x:c r="K22" s="34" t="n">
        <x:f>'Candidates'!V22</x:f>
        <x:v>0.657172</x:v>
      </x:c>
      <x:c r="L22" s="34" t="n">
        <x:f>'Candidates'!W22</x:f>
        <x:v>0.574034</x:v>
      </x:c>
      <x:c r="M22" s="34" t="n">
        <x:f>'Candidates'!X22</x:f>
        <x:v>0.219904</x:v>
      </x:c>
      <x:c r="N22" s="34" t="n">
        <x:f>'Candidates'!Y22</x:f>
        <x:v>0.610964</x:v>
      </x:c>
      <x:c r="O22" s="34" t="n">
        <x:f>'Candidates'!Z22</x:f>
        <x:v>0.523185</x:v>
      </x:c>
      <x:c r="P22" s="34" t="n">
        <x:f>'Candidates'!AA22</x:f>
        <x:v>0.994225</x:v>
      </x:c>
      <x:c r="Q22" s="34" t="n">
        <x:f>'Candidates'!AB22</x:f>
        <x:v>0.56752</x:v>
      </x:c>
      <x:c r="R22" s="34" t="n">
        <x:f>'Candidates'!AC22</x:f>
        <x:v>0</x:v>
      </x:c>
    </x:row>
    <x:row r="23">
      <x:c r="A23" t="n">
        <x:f>'Candidates'!C23</x:f>
        <x:v>19</x:v>
      </x:c>
      <x:c r="B23" t="str">
        <x:f>'Candidates'!A23</x:f>
        <x:v>C11</x:v>
      </x:c>
      <x:c r="C23" t="str">
        <x:f>'Candidates'!B23</x:f>
        <x:v>Atasehir Finance</x:v>
      </x:c>
      <x:c r="D23" s="31" t="n">
        <x:f>'Candidates'!D23</x:f>
        <x:v>55.255</x:v>
      </x:c>
      <x:c r="E23" s="31" t="n">
        <x:f>(K23*'Weights'!$E$5+L23*'Weights'!$E$6+M23*'Weights'!$E$7+N23*'Weights'!$E$8+O23*'Weights'!$E$9+P23*'Weights'!$E$10+Q23*'Weights'!$E$11+R23*'Weights'!$E$12)*100</x:f>
        <x:v>55.254814999999994</x:v>
      </x:c>
      <x:c r="F23" s="33" t="n">
        <x:f>'Candidates'!E23</x:f>
        <x:v>158.43</x:v>
      </x:c>
      <x:c r="G23" s="33" t="n">
        <x:f>'Candidates'!Q23</x:f>
        <x:v>24.266</x:v>
      </x:c>
      <x:c r="H23" s="23" t="n">
        <x:f>'Candidates'!S23</x:f>
        <x:v>-0.975274</x:v>
      </x:c>
      <x:c r="I23" s="32" t="n">
        <x:f>'Candidates'!I23</x:f>
        <x:v>298331</x:v>
      </x:c>
      <x:c r="J23" s="23" t="n">
        <x:f>'Candidates'!P23</x:f>
        <x:v>0.929426</x:v>
      </x:c>
      <x:c r="K23" s="34" t="n">
        <x:f>'Candidates'!V23</x:f>
        <x:v>0.758073</x:v>
      </x:c>
      <x:c r="L23" s="34" t="n">
        <x:f>'Candidates'!W23</x:f>
        <x:v>0.730748</x:v>
      </x:c>
      <x:c r="M23" s="34" t="n">
        <x:f>'Candidates'!X23</x:f>
        <x:v>0.878456</x:v>
      </x:c>
      <x:c r="N23" s="34" t="n">
        <x:f>'Candidates'!Y23</x:f>
        <x:v>0</x:v>
      </x:c>
      <x:c r="O23" s="34" t="n">
        <x:f>'Candidates'!Z23</x:f>
        <x:v>0.533003</x:v>
      </x:c>
      <x:c r="P23" s="34" t="n">
        <x:f>'Candidates'!AA23</x:f>
        <x:v>0</x:v>
      </x:c>
      <x:c r="Q23" s="34" t="n">
        <x:f>'Candidates'!AB23</x:f>
        <x:v>0.64956</x:v>
      </x:c>
      <x:c r="R23" s="34" t="n">
        <x:f>'Candidates'!AC23</x:f>
        <x:v>0.684118</x:v>
      </x:c>
    </x:row>
    <x:row r="24">
      <x:c r="A24" t="n">
        <x:f>'Candidates'!C24</x:f>
        <x:v>20</x:v>
      </x:c>
      <x:c r="B24" t="str">
        <x:f>'Candidates'!A24</x:f>
        <x:v>C19</x:v>
      </x:c>
      <x:c r="C24" t="str">
        <x:f>'Candidates'!B24</x:f>
        <x:v>Tuzla Technology</x:v>
      </x:c>
      <x:c r="D24" s="31" t="n">
        <x:f>'Candidates'!D24</x:f>
        <x:v>54.895</x:v>
      </x:c>
      <x:c r="E24" s="31" t="n">
        <x:f>(K24*'Weights'!$E$5+L24*'Weights'!$E$6+M24*'Weights'!$E$7+N24*'Weights'!$E$8+O24*'Weights'!$E$9+P24*'Weights'!$E$10+Q24*'Weights'!$E$11+R24*'Weights'!$E$12)*100</x:f>
        <x:v>54.894704</x:v>
      </x:c>
      <x:c r="F24" s="33" t="n">
        <x:f>'Candidates'!E24</x:f>
        <x:v>127.413</x:v>
      </x:c>
      <x:c r="G24" s="33" t="n">
        <x:f>'Candidates'!Q24</x:f>
        <x:v>21.961</x:v>
      </x:c>
      <x:c r="H24" s="23" t="n">
        <x:f>'Candidates'!S24</x:f>
        <x:v>-1.118437</x:v>
      </x:c>
      <x:c r="I24" s="32" t="n">
        <x:f>'Candidates'!I24</x:f>
        <x:v>176514</x:v>
      </x:c>
      <x:c r="J24" s="23" t="n">
        <x:f>'Candidates'!P24</x:f>
        <x:v>0.002294</x:v>
      </x:c>
      <x:c r="K24" s="34" t="n">
        <x:f>'Candidates'!V24</x:f>
        <x:v>0.475538</x:v>
      </x:c>
      <x:c r="L24" s="34" t="n">
        <x:f>'Candidates'!W24</x:f>
        <x:v>0.404361</x:v>
      </x:c>
      <x:c r="M24" s="34" t="n">
        <x:f>'Candidates'!X24</x:f>
        <x:v>0.106357</x:v>
      </x:c>
      <x:c r="N24" s="34" t="n">
        <x:f>'Candidates'!Y24</x:f>
        <x:v>0.472233</x:v>
      </x:c>
      <x:c r="O24" s="34" t="n">
        <x:f>'Candidates'!Z24</x:f>
        <x:v>1</x:v>
      </x:c>
      <x:c r="P24" s="34" t="n">
        <x:f>'Candidates'!AA24</x:f>
        <x:v>0.997532</x:v>
      </x:c>
      <x:c r="Q24" s="34" t="n">
        <x:f>'Candidates'!AB24</x:f>
        <x:v>0.605945</x:v>
      </x:c>
      <x:c r="R24" s="34" t="n">
        <x:f>'Candidates'!AC24</x:f>
        <x:v>0.441011</x:v>
      </x:c>
    </x:row>
    <x:row r="25">
      <x:c r="A25" t="n">
        <x:f>'Candidates'!C25</x:f>
        <x:v>21</x:v>
      </x:c>
      <x:c r="B25" t="str">
        <x:f>'Candidates'!A25</x:f>
        <x:v>C08</x:v>
      </x:c>
      <x:c r="C25" t="str">
        <x:f>'Candidates'!B25</x:f>
        <x:v>Sariyer Corridor</x:v>
      </x:c>
      <x:c r="D25" s="31" t="n">
        <x:f>'Candidates'!D25</x:f>
        <x:v>51.904</x:v>
      </x:c>
      <x:c r="E25" s="31" t="n">
        <x:f>(K25*'Weights'!$E$5+L25*'Weights'!$E$6+M25*'Weights'!$E$7+N25*'Weights'!$E$8+O25*'Weights'!$E$9+P25*'Weights'!$E$10+Q25*'Weights'!$E$11+R25*'Weights'!$E$12)*100</x:f>
        <x:v>51.903544999999994</x:v>
      </x:c>
      <x:c r="F25" s="33" t="n">
        <x:f>'Candidates'!E25</x:f>
        <x:v>158.843</x:v>
      </x:c>
      <x:c r="G25" s="33" t="n">
        <x:f>'Candidates'!Q25</x:f>
        <x:v>28.549</x:v>
      </x:c>
      <x:c r="H25" s="23" t="n">
        <x:f>'Candidates'!S25</x:f>
        <x:v>-1.700585</x:v>
      </x:c>
      <x:c r="I25" s="32" t="n">
        <x:f>'Candidates'!I25</x:f>
        <x:v>271395</x:v>
      </x:c>
      <x:c r="J25" s="23" t="n">
        <x:f>'Candidates'!P25</x:f>
        <x:v>0.019472</x:v>
      </x:c>
      <x:c r="K25" s="34" t="n">
        <x:f>'Candidates'!V25</x:f>
        <x:v>0.761835</x:v>
      </x:c>
      <x:c r="L25" s="34" t="n">
        <x:f>'Candidates'!W25</x:f>
        <x:v>0.65921</x:v>
      </x:c>
      <x:c r="M25" s="34" t="n">
        <x:f>'Candidates'!X25</x:f>
        <x:v>0.206799</x:v>
      </x:c>
      <x:c r="N25" s="34" t="n">
        <x:f>'Candidates'!Y25</x:f>
        <x:v>0.25166</x:v>
      </x:c>
      <x:c r="O25" s="34" t="n">
        <x:f>'Candidates'!Z25</x:f>
        <x:v>0</x:v>
      </x:c>
      <x:c r="P25" s="34" t="n">
        <x:f>'Candidates'!AA25</x:f>
        <x:v>0.979049</x:v>
      </x:c>
      <x:c r="Q25" s="34" t="n">
        <x:f>'Candidates'!AB25</x:f>
        <x:v>0.428594</x:v>
      </x:c>
      <x:c r="R25" s="34" t="n">
        <x:f>'Candidates'!AC25</x:f>
        <x:v>0.571444</x:v>
      </x:c>
    </x:row>
    <x:row r="26">
      <x:c r="A26" t="n">
        <x:f>'Candidates'!C26</x:f>
        <x:v>22</x:v>
      </x:c>
      <x:c r="B26" t="str">
        <x:f>'Candidates'!A26</x:f>
        <x:v>C21</x:v>
      </x:c>
      <x:c r="C26" t="str">
        <x:f>'Candidates'!B26</x:f>
        <x:v>Arnavutkoy Center</x:v>
      </x:c>
      <x:c r="D26" s="31" t="n">
        <x:f>'Candidates'!D26</x:f>
        <x:v>49.786</x:v>
      </x:c>
      <x:c r="E26" s="31" t="n">
        <x:f>(K26*'Weights'!$E$5+L26*'Weights'!$E$6+M26*'Weights'!$E$7+N26*'Weights'!$E$8+O26*'Weights'!$E$9+P26*'Weights'!$E$10+Q26*'Weights'!$E$11+R26*'Weights'!$E$12)*100</x:f>
        <x:v>49.78551999999999</x:v>
      </x:c>
      <x:c r="F26" s="33" t="n">
        <x:f>'Candidates'!E26</x:f>
        <x:v>104.834</x:v>
      </x:c>
      <x:c r="G26" s="33" t="n">
        <x:f>'Candidates'!Q26</x:f>
        <x:v>21.813</x:v>
      </x:c>
      <x:c r="H26" s="23" t="n">
        <x:f>'Candidates'!S26</x:f>
        <x:v>-1.931784</x:v>
      </x:c>
      <x:c r="I26" s="32" t="n">
        <x:f>'Candidates'!I26</x:f>
        <x:v>112734</x:v>
      </x:c>
      <x:c r="J26" s="23" t="n">
        <x:f>'Candidates'!P26</x:f>
        <x:v>0.000377</x:v>
      </x:c>
      <x:c r="K26" s="34" t="n">
        <x:f>'Candidates'!V26</x:f>
        <x:v>0.269865</x:v>
      </x:c>
      <x:c r="L26" s="34" t="n">
        <x:f>'Candidates'!W26</x:f>
        <x:v>0.235682</x:v>
      </x:c>
      <x:c r="M26" s="34" t="n">
        <x:f>'Candidates'!X26</x:f>
        <x:v>0.192677</x:v>
      </x:c>
      <x:c r="N26" s="34" t="n">
        <x:f>'Candidates'!Y26</x:f>
        <x:v>0.789697</x:v>
      </x:c>
      <x:c r="O26" s="34" t="n">
        <x:f>'Candidates'!Z26</x:f>
        <x:v>0.944057</x:v>
      </x:c>
      <x:c r="P26" s="34" t="n">
        <x:f>'Candidates'!AA26</x:f>
        <x:v>0.999594</x:v>
      </x:c>
      <x:c r="Q26" s="34" t="n">
        <x:f>'Candidates'!AB26</x:f>
        <x:v>0.35816</x:v>
      </x:c>
      <x:c r="R26" s="34" t="n">
        <x:f>'Candidates'!AC26</x:f>
        <x:v>0.67108</x:v>
      </x:c>
    </x:row>
    <x:row r="27">
      <x:c r="A27" t="n">
        <x:f>'Candidates'!C27</x:f>
        <x:v>23</x:v>
      </x:c>
      <x:c r="B27" t="str">
        <x:f>'Candidates'!A27</x:f>
        <x:v>C12</x:v>
      </x:c>
      <x:c r="C27" t="str">
        <x:f>'Candidates'!B27</x:f>
        <x:v>Umraniye Center</x:v>
      </x:c>
      <x:c r="D27" s="31" t="n">
        <x:f>'Candidates'!D27</x:f>
        <x:v>41.205</x:v>
      </x:c>
      <x:c r="E27" s="31" t="n">
        <x:f>(K27*'Weights'!$E$5+L27*'Weights'!$E$6+M27*'Weights'!$E$7+N27*'Weights'!$E$8+O27*'Weights'!$E$9+P27*'Weights'!$E$10+Q27*'Weights'!$E$11+R27*'Weights'!$E$12)*100</x:f>
        <x:v>41.20495400000001</x:v>
      </x:c>
      <x:c r="F27" s="33" t="n">
        <x:f>'Candidates'!E27</x:f>
        <x:v>135.997</x:v>
      </x:c>
      <x:c r="G27" s="33" t="n">
        <x:f>'Candidates'!Q27</x:f>
        <x:v>25.377</x:v>
      </x:c>
      <x:c r="H27" s="23" t="n">
        <x:f>'Candidates'!S27</x:f>
        <x:v>-1.710486</x:v>
      </x:c>
      <x:c r="I27" s="32" t="n">
        <x:f>'Candidates'!I27</x:f>
        <x:v>205309</x:v>
      </x:c>
      <x:c r="J27" s="23" t="n">
        <x:f>'Candidates'!P27</x:f>
        <x:v>0.8502</x:v>
      </x:c>
      <x:c r="K27" s="34" t="n">
        <x:f>'Candidates'!V27</x:f>
        <x:v>0.55373</x:v>
      </x:c>
      <x:c r="L27" s="34" t="n">
        <x:f>'Candidates'!W27</x:f>
        <x:v>0.481805</x:v>
      </x:c>
      <x:c r="M27" s="34" t="n">
        <x:f>'Candidates'!X27</x:f>
        <x:v>0.897666</x:v>
      </x:c>
      <x:c r="N27" s="34" t="n">
        <x:f>'Candidates'!Y27</x:f>
        <x:v>0.013246</x:v>
      </x:c>
      <x:c r="O27" s="34" t="n">
        <x:f>'Candidates'!Z27</x:f>
        <x:v>0.383473</x:v>
      </x:c>
      <x:c r="P27" s="34" t="n">
        <x:f>'Candidates'!AA27</x:f>
        <x:v>0.085242</x:v>
      </x:c>
      <x:c r="Q27" s="34" t="n">
        <x:f>'Candidates'!AB27</x:f>
        <x:v>0.425578</x:v>
      </x:c>
      <x:c r="R27" s="34" t="n">
        <x:f>'Candidates'!AC27</x:f>
        <x:v>0.180781</x:v>
      </x:c>
    </x:row>
    <x:row r="28">
      <x:c r="A28" t="n">
        <x:f>'Candidates'!C28</x:f>
        <x:v>24</x:v>
      </x:c>
      <x:c r="B28" t="str">
        <x:f>'Candidates'!A28</x:f>
        <x:v>C22</x:v>
      </x:c>
      <x:c r="C28" t="str">
        <x:f>'Candidates'!B28</x:f>
        <x:v>Silivri Gateway</x:v>
      </x:c>
      <x:c r="D28" s="31" t="n">
        <x:f>'Candidates'!D28</x:f>
        <x:v>18.75</x:v>
      </x:c>
      <x:c r="E28" s="31" t="n">
        <x:f>(K28*'Weights'!$E$5+L28*'Weights'!$E$6+M28*'Weights'!$E$7+N28*'Weights'!$E$8+O28*'Weights'!$E$9+P28*'Weights'!$E$10+Q28*'Weights'!$E$11+R28*'Weights'!$E$12)*100</x:f>
        <x:v>18.749552</x:v>
      </x:c>
      <x:c r="F28" s="33" t="n">
        <x:f>'Candidates'!E28</x:f>
        <x:v>75.208</x:v>
      </x:c>
      <x:c r="G28" s="33" t="n">
        <x:f>'Candidates'!Q28</x:f>
        <x:v>25.188</x:v>
      </x:c>
      <x:c r="H28" s="23" t="n">
        <x:f>'Candidates'!S28</x:f>
        <x:v>-3.107432</x:v>
      </x:c>
      <x:c r="I28" s="32" t="n">
        <x:f>'Candidates'!I28</x:f>
        <x:v>19866</x:v>
      </x:c>
      <x:c r="J28" s="23" t="n">
        <x:f>'Candidates'!P28</x:f>
        <x:v>0</x:v>
      </x:c>
      <x:c r="K28" s="34" t="n">
        <x:f>'Candidates'!V28</x:f>
        <x:v>0</x:v>
      </x:c>
      <x:c r="L28" s="34" t="n">
        <x:f>'Candidates'!W28</x:f>
        <x:v>0</x:v>
      </x:c>
      <x:c r="M28" s="34" t="n">
        <x:f>'Candidates'!X28</x:f>
        <x:v>0</x:v>
      </x:c>
      <x:c r="N28" s="34" t="n">
        <x:f>'Candidates'!Y28</x:f>
        <x:v>0.057661</x:v>
      </x:c>
      <x:c r="O28" s="34" t="n">
        <x:f>'Candidates'!Z28</x:f>
        <x:v>0.428154</x:v>
      </x:c>
      <x:c r="P28" s="34" t="n">
        <x:f>'Candidates'!AA28</x:f>
        <x:v>1</x:v>
      </x:c>
      <x:c r="Q28" s="34" t="n">
        <x:f>'Candidates'!AB28</x:f>
        <x:v>0</x:v>
      </x:c>
      <x:c r="R28" s="34" t="n">
        <x:f>'Candidates'!AC28</x:f>
        <x:v>0.555216</x:v>
      </x:c>
    </x:row>
  </x:sheetData>
  <x:mergeCells>
    <x:mergeCell ref="A1:R1"/>
    <x:mergeCell ref="A2:R2"/>
  </x:mergeCells>
  <x:conditionalFormatting sqref="E5:E28">
    <x:cfRule type="colorScale" priority="1">
      <x:colorScale>
        <x:cfvo type="min"/>
        <x:cfvo type="percentile" val="50"/>
        <x:cfvo type="max"/>
        <x:color rgb="FFE76F51"/>
        <x:color rgb="FFF6D365"/>
        <x:color rgb="FF2A9D8F"/>
      </x:colorScale>
    </x:cfRule>
  </x:conditionalFormatting>
  <x:conditionalFormatting sqref="J5:J28">
    <x:cfRule type="cellIs" dxfId="1" priority="2" operator="greaterThan">
      <x:formula>0.4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26" hidden="0" customWidth="1"/>
    <x:col min="5" max="5" width="20" hidden="0" customWidth="1"/>
    <x:col min="6" max="6" width="36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4" customHeight="1">
      <x:c r="A1" s="3" t="str">
        <x:v>Expansion Scenario Planner</x:v>
      </x:c>
      <x:c r="B1" s="3" t="str">
        <x:v>Expansion Scenario Planner</x:v>
      </x:c>
      <x:c r="C1" s="3" t="str">
        <x:v>Expansion Scenario Planner</x:v>
      </x:c>
      <x:c r="D1" s="3" t="str">
        <x:v>Expansion Scenario Planner</x:v>
      </x:c>
      <x:c r="E1" s="3" t="str">
        <x:v>Expansion Scenario Planner</x:v>
      </x:c>
      <x:c r="F1" s="3" t="str">
        <x:v>Expansion Scenario Planner</x:v>
      </x:c>
      <x:c r="G1" s="3" t="str">
        <x:v>Expansion Scenario Planner</x:v>
      </x:c>
      <x:c r="H1" s="3" t="str">
        <x:v>Expansion Scenario Planner</x:v>
      </x:c>
      <x:c r="I1" s="3" t="str">
        <x:v>Expansion Scenario Planner</x:v>
      </x:c>
      <x:c r="J1" s="3" t="str">
        <x:v>Expansion Scenario Planner</x:v>
      </x:c>
      <x:c r="K1" s="3" t="str">
        <x:v>Expansion Scenario Planner</x:v>
      </x:c>
      <x:c r="L1" s="3" t="str">
        <x:v>Expansion Scenario Planner</x:v>
      </x:c>
    </x:row>
    <x:row r="2" ht="28" customHeight="1">
      <x:c r="A2" s="6" t="str">
        <x:v>Choose a scenario and edit the blue Yes/No selection cells. Budget and impact recalculate.</x:v>
      </x:c>
      <x:c r="B2" s="6" t="str">
        <x:v>Choose a scenario and edit the blue Yes/No selection cells. Budget and impact recalculate.</x:v>
      </x:c>
      <x:c r="C2" s="6" t="str">
        <x:v>Choose a scenario and edit the blue Yes/No selection cells. Budget and impact recalculate.</x:v>
      </x:c>
      <x:c r="D2" s="6" t="str">
        <x:v>Choose a scenario and edit the blue Yes/No selection cells. Budget and impact recalculate.</x:v>
      </x:c>
      <x:c r="E2" s="6" t="str">
        <x:v>Choose a scenario and edit the blue Yes/No selection cells. Budget and impact recalculate.</x:v>
      </x:c>
      <x:c r="F2" s="6" t="str">
        <x:v>Choose a scenario and edit the blue Yes/No selection cells. Budget and impact recalculate.</x:v>
      </x:c>
      <x:c r="G2" s="6" t="str">
        <x:v>Choose a scenario and edit the blue Yes/No selection cells. Budget and impact recalculate.</x:v>
      </x:c>
      <x:c r="H2" s="6" t="str">
        <x:v>Choose a scenario and edit the blue Yes/No selection cells. Budget and impact recalculate.</x:v>
      </x:c>
      <x:c r="I2" s="6" t="str">
        <x:v>Choose a scenario and edit the blue Yes/No selection cells. Budget and impact recalculate.</x:v>
      </x:c>
      <x:c r="J2" s="6" t="str">
        <x:v>Choose a scenario and edit the blue Yes/No selection cells. Budget and impact recalculate.</x:v>
      </x:c>
      <x:c r="K2" s="6" t="str">
        <x:v>Choose a scenario and edit the blue Yes/No selection cells. Budget and impact recalculate.</x:v>
      </x:c>
      <x:c r="L2" s="6" t="str">
        <x:v>Choose a scenario and edit the blue Yes/No selection cells. Budget and impact recalculate.</x:v>
      </x:c>
    </x:row>
    <x:row r="4" ht="30" customHeight="1">
      <x:c r="A4" s="36" t="str">
        <x:v>Scenario</x:v>
      </x:c>
      <x:c r="B4" s="21" t="str">
        <x:v>base</x:v>
      </x:c>
      <x:c r="D4" s="18" t="str">
        <x:v>Portfolio KPI</x:v>
      </x:c>
      <x:c r="E4" s="19" t="str">
        <x:v>Formula Output</x:v>
      </x:c>
      <x:c r="F4" s="20" t="str">
        <x:v>Status</x:v>
      </x:c>
    </x:row>
    <x:row r="5">
      <x:c r="A5" s="36" t="str">
        <x:v>Budget</x:v>
      </x:c>
      <x:c r="B5" s="33" t="n">
        <x:f>INDEX('Scenarios'!$B$5:$B$7,MATCH($B$4,'Scenarios'!$A$5:$A$7,0))</x:f>
        <x:v>110</x:v>
      </x:c>
      <x:c r="D5" t="str">
        <x:v>Selected stores</x:v>
      </x:c>
      <x:c r="E5" t="n">
        <x:f>COUNTIF(B12:B35,"Yes")</x:f>
        <x:v>4</x:v>
      </x:c>
      <x:c r="F5" t="str">
        <x:f>IF(E5=0,"Select sites","Review")</x:f>
        <x:v>Review</x:v>
      </x:c>
    </x:row>
    <x:row r="6">
      <x:c r="A6" s="36" t="str">
        <x:v>Demand multiplier</x:v>
      </x:c>
      <x:c r="B6" s="35" t="n">
        <x:f>INDEX('Scenarios'!$C$5:$C$7,MATCH($B$4,'Scenarios'!$A$5:$A$7,0))</x:f>
        <x:v>1</x:v>
      </x:c>
      <x:c r="D6" t="str">
        <x:v>Budget used</x:v>
      </x:c>
      <x:c r="E6" s="33" t="n">
        <x:f>SUM(F12:F35)</x:f>
        <x:v>93.382</x:v>
      </x:c>
      <x:c r="F6" t="str">
        <x:f>IF(E6&lt;=$B$5,"PASS","OVER BUDGET")</x:f>
        <x:v>PASS</x:v>
      </x:c>
    </x:row>
    <x:row r="7">
      <x:c r="A7" s="36" t="str">
        <x:v>Cost multiplier</x:v>
      </x:c>
      <x:c r="B7" s="35" t="n">
        <x:f>INDEX('Scenarios'!$D$5:$D$7,MATCH($B$4,'Scenarios'!$A$5:$A$7,0))</x:f>
        <x:v>1</x:v>
      </x:c>
      <x:c r="D7" t="str">
        <x:v>Adjusted sales</x:v>
      </x:c>
      <x:c r="E7" s="33" t="n">
        <x:f>SUM(E12:E35)</x:f>
        <x:v>732.554</x:v>
      </x:c>
      <x:c r="F7"/>
    </x:row>
    <x:row r="8">
      <x:c r="A8" s="36" t="str">
        <x:v>Decision rule</x:v>
      </x:c>
      <x:c r="B8" t="str">
        <x:v>Budget check plus manual portfolio selection</x:v>
      </x:c>
      <x:c r="D8" t="str">
        <x:v>Incremental 10-min population*</x:v>
      </x:c>
      <x:c r="E8" s="32" t="n">
        <x:f>SUM(G12:G35)</x:f>
        <x:v>1579226</x:v>
      </x:c>
      <x:c r="F8" t="str">
        <x:v>Overlap not de-duplicated in workbook</x:v>
      </x:c>
    </x:row>
    <x:row r="11" ht="30" customHeight="1">
      <x:c r="A11" s="18" t="str">
        <x:v>Rank</x:v>
      </x:c>
      <x:c r="B11" s="19" t="str">
        <x:v>Select</x:v>
      </x:c>
      <x:c r="C11" s="19" t="str">
        <x:v>Candidate</x:v>
      </x:c>
      <x:c r="D11" s="19" t="str">
        <x:v>Pipeline Score</x:v>
      </x:c>
      <x:c r="E11" s="19" t="str">
        <x:v>Adjusted Sales</x:v>
      </x:c>
      <x:c r="F11" s="19" t="str">
        <x:v>Adjusted Opening Cost</x:v>
      </x:c>
      <x:c r="G11" s="19" t="str">
        <x:v>10-min Population</x:v>
      </x:c>
      <x:c r="H11" s="19" t="str">
        <x:v>Cannibalization</x:v>
      </x:c>
      <x:c r="I11" s="20" t="str">
        <x:v>3Y ROI</x:v>
      </x:c>
    </x:row>
    <x:row r="12">
      <x:c r="A12" t="n">
        <x:f>'Candidates'!C5</x:f>
        <x:v>1</x:v>
      </x:c>
      <x:c r="B12" s="21" t="str">
        <x:v>Yes</x:v>
      </x:c>
      <x:c r="C12" t="str">
        <x:f>'Candidates'!B5</x:f>
        <x:v>Ikitelli Industry</x:v>
      </x:c>
      <x:c r="D12" s="31" t="n">
        <x:f>'Candidates'!D5</x:f>
        <x:v>81.236</x:v>
      </x:c>
      <x:c r="E12" s="33" t="n">
        <x:f>IF(B12="Yes",'Candidates'!E5*$B$6,0)</x:f>
        <x:v>183.107</x:v>
      </x:c>
      <x:c r="F12" s="33" t="n">
        <x:f>IF(B12="Yes",'Candidates'!Q5*$B$7,0)</x:f>
        <x:v>23.44</x:v>
      </x:c>
      <x:c r="G12" s="32" t="n">
        <x:f>IF(B12="Yes",'Candidates'!I5,0)</x:f>
        <x:v>396396</x:v>
      </x:c>
      <x:c r="H12" s="23" t="n">
        <x:f>'Candidates'!P5</x:f>
        <x:v>0.010471</x:v>
      </x:c>
      <x:c r="I12" s="23" t="n">
        <x:f>'Candidates'!S5</x:f>
        <x:v>-0.160026</x:v>
      </x:c>
    </x:row>
    <x:row r="13">
      <x:c r="A13" t="n">
        <x:f>'Candidates'!C6</x:f>
        <x:v>2</x:v>
      </x:c>
      <x:c r="B13" s="21" t="str">
        <x:v>Yes</x:v>
      </x:c>
      <x:c r="C13" t="str">
        <x:f>'Candidates'!B6</x:f>
        <x:v>Sultanbeyli Square</x:v>
      </x:c>
      <x:c r="D13" s="31" t="n">
        <x:f>'Candidates'!D6</x:f>
        <x:v>80.521</x:v>
      </x:c>
      <x:c r="E13" s="33" t="n">
        <x:f>IF(B13="Yes",'Candidates'!E6*$B$6,0)</x:f>
        <x:v>182.32</x:v>
      </x:c>
      <x:c r="F13" s="33" t="n">
        <x:f>IF(B13="Yes",'Candidates'!Q6*$B$7,0)</x:f>
        <x:v>22.296</x:v>
      </x:c>
      <x:c r="G13" s="32" t="n">
        <x:f>IF(B13="Yes",'Candidates'!I6,0)</x:f>
        <x:v>379553</x:v>
      </x:c>
      <x:c r="H13" s="23" t="n">
        <x:f>'Candidates'!P6</x:f>
        <x:v>0.018037</x:v>
      </x:c>
      <x:c r="I13" s="23" t="n">
        <x:f>'Candidates'!S6</x:f>
        <x:v>0.146798</x:v>
      </x:c>
    </x:row>
    <x:row r="14">
      <x:c r="A14" t="n">
        <x:f>'Candidates'!C7</x:f>
        <x:v>3</x:v>
      </x:c>
      <x:c r="B14" s="21" t="str">
        <x:v>Yes</x:v>
      </x:c>
      <x:c r="C14" t="str">
        <x:f>'Candidates'!B7</x:f>
        <x:v>Sancaktepe Hub</x:v>
      </x:c>
      <x:c r="D14" s="31" t="n">
        <x:f>'Candidates'!D7</x:f>
        <x:v>80.095</x:v>
      </x:c>
      <x:c r="E14" s="33" t="n">
        <x:f>IF(B14="Yes",'Candidates'!E7*$B$6,0)</x:f>
        <x:v>182.183</x:v>
      </x:c>
      <x:c r="F14" s="33" t="n">
        <x:f>IF(B14="Yes",'Candidates'!Q7*$B$7,0)</x:f>
        <x:v>24.261</x:v>
      </x:c>
      <x:c r="G14" s="32" t="n">
        <x:f>IF(B14="Yes",'Candidates'!I7,0)</x:f>
        <x:v>397428</x:v>
      </x:c>
      <x:c r="H14" s="23" t="n">
        <x:f>'Candidates'!P7</x:f>
        <x:v>0.02556</x:v>
      </x:c>
      <x:c r="I14" s="23" t="n">
        <x:f>'Candidates'!S7</x:f>
        <x:v>-0.200692</x:v>
      </x:c>
    </x:row>
    <x:row r="15">
      <x:c r="A15" t="n">
        <x:f>'Candidates'!C8</x:f>
        <x:v>4</x:v>
      </x:c>
      <x:c r="B15" s="21" t="str">
        <x:v>Yes</x:v>
      </x:c>
      <x:c r="C15" t="str">
        <x:f>'Candidates'!B8</x:f>
        <x:v>Eyupsultan Hub</x:v>
      </x:c>
      <x:c r="D15" s="31" t="n">
        <x:f>'Candidates'!D8</x:f>
        <x:v>78.88</x:v>
      </x:c>
      <x:c r="E15" s="33" t="n">
        <x:f>IF(B15="Yes",'Candidates'!E8*$B$6,0)</x:f>
        <x:v>184.944</x:v>
      </x:c>
      <x:c r="F15" s="33" t="n">
        <x:f>IF(B15="Yes",'Candidates'!Q8*$B$7,0)</x:f>
        <x:v>23.385</x:v>
      </x:c>
      <x:c r="G15" s="32" t="n">
        <x:f>IF(B15="Yes",'Candidates'!I8,0)</x:f>
        <x:v>405849</x:v>
      </x:c>
      <x:c r="H15" s="23" t="n">
        <x:f>'Candidates'!P8</x:f>
        <x:v>0.348754</x:v>
      </x:c>
      <x:c r="I15" s="23" t="n">
        <x:f>'Candidates'!S8</x:f>
        <x:v>-0.066453</x:v>
      </x:c>
    </x:row>
    <x:row r="16">
      <x:c r="A16" t="n">
        <x:f>'Candidates'!C9</x:f>
        <x:v>5</x:v>
      </x:c>
      <x:c r="B16" s="21" t="str">
        <x:v>No</x:v>
      </x:c>
      <x:c r="C16" t="str">
        <x:f>'Candidates'!B9</x:f>
        <x:v>Avcilar University</x:v>
      </x:c>
      <x:c r="D16" s="31" t="n">
        <x:f>'Candidates'!D9</x:f>
        <x:v>78.402</x:v>
      </x:c>
      <x:c r="E16" s="33" t="n">
        <x:f>IF(B16="Yes",'Candidates'!E9*$B$6,0)</x:f>
        <x:v>0</x:v>
      </x:c>
      <x:c r="F16" s="33" t="n">
        <x:f>IF(B16="Yes",'Candidates'!Q9*$B$7,0)</x:f>
        <x:v>0</x:v>
      </x:c>
      <x:c r="G16" s="32" t="n">
        <x:f>IF(B16="Yes",'Candidates'!I9,0)</x:f>
        <x:v>0</x:v>
      </x:c>
      <x:c r="H16" s="23" t="n">
        <x:f>'Candidates'!P9</x:f>
        <x:v>0.01029</x:v>
      </x:c>
      <x:c r="I16" s="23" t="n">
        <x:f>'Candidates'!S9</x:f>
        <x:v>-0.504638</x:v>
      </x:c>
    </x:row>
    <x:row r="17">
      <x:c r="A17" t="n">
        <x:f>'Candidates'!C10</x:f>
        <x:v>6</x:v>
      </x:c>
      <x:c r="B17" s="21" t="str">
        <x:v>No</x:v>
      </x:c>
      <x:c r="C17" t="str">
        <x:f>'Candidates'!B10</x:f>
        <x:v>Kagithane Axis</x:v>
      </x:c>
      <x:c r="D17" s="31" t="n">
        <x:f>'Candidates'!D10</x:f>
        <x:v>77.712</x:v>
      </x:c>
      <x:c r="E17" s="33" t="n">
        <x:f>IF(B17="Yes",'Candidates'!E10*$B$6,0)</x:f>
        <x:v>0</x:v>
      </x:c>
      <x:c r="F17" s="33" t="n">
        <x:f>IF(B17="Yes",'Candidates'!Q10*$B$7,0)</x:f>
        <x:v>0</x:v>
      </x:c>
      <x:c r="G17" s="32" t="n">
        <x:f>IF(B17="Yes",'Candidates'!I10,0)</x:f>
        <x:v>0</x:v>
      </x:c>
      <x:c r="H17" s="23" t="n">
        <x:f>'Candidates'!P10</x:f>
        <x:v>0.609962</x:v>
      </x:c>
      <x:c r="I17" s="23" t="n">
        <x:f>'Candidates'!S10</x:f>
        <x:v>0.175035</x:v>
      </x:c>
    </x:row>
    <x:row r="18">
      <x:c r="A18" t="n">
        <x:f>'Candidates'!C11</x:f>
        <x:v>7</x:v>
      </x:c>
      <x:c r="B18" s="21" t="str">
        <x:v>No</x:v>
      </x:c>
      <x:c r="C18" t="str">
        <x:f>'Candidates'!B11</x:f>
        <x:v>Bahcelievler Metro</x:v>
      </x:c>
      <x:c r="D18" s="31" t="n">
        <x:f>'Candidates'!D11</x:f>
        <x:v>74.67</x:v>
      </x:c>
      <x:c r="E18" s="33" t="n">
        <x:f>IF(B18="Yes",'Candidates'!E11*$B$6,0)</x:f>
        <x:v>0</x:v>
      </x:c>
      <x:c r="F18" s="33" t="n">
        <x:f>IF(B18="Yes",'Candidates'!Q11*$B$7,0)</x:f>
        <x:v>0</x:v>
      </x:c>
      <x:c r="G18" s="32" t="n">
        <x:f>IF(B18="Yes",'Candidates'!I11,0)</x:f>
        <x:v>0</x:v>
      </x:c>
      <x:c r="H18" s="23" t="n">
        <x:f>'Candidates'!P11</x:f>
        <x:v>0.535299</x:v>
      </x:c>
      <x:c r="I18" s="23" t="n">
        <x:f>'Candidates'!S11</x:f>
        <x:v>-0.314015</x:v>
      </x:c>
    </x:row>
    <x:row r="19">
      <x:c r="A19" t="n">
        <x:f>'Candidates'!C12</x:f>
        <x:v>8</x:v>
      </x:c>
      <x:c r="B19" s="21" t="str">
        <x:v>No</x:v>
      </x:c>
      <x:c r="C19" t="str">
        <x:f>'Candidates'!B12</x:f>
        <x:v>Pendik Marina</x:v>
      </x:c>
      <x:c r="D19" s="31" t="n">
        <x:f>'Candidates'!D12</x:f>
        <x:v>74.183</x:v>
      </x:c>
      <x:c r="E19" s="33" t="n">
        <x:f>IF(B19="Yes",'Candidates'!E12*$B$6,0)</x:f>
        <x:v>0</x:v>
      </x:c>
      <x:c r="F19" s="33" t="n">
        <x:f>IF(B19="Yes",'Candidates'!Q12*$B$7,0)</x:f>
        <x:v>0</x:v>
      </x:c>
      <x:c r="G19" s="32" t="n">
        <x:f>IF(B19="Yes",'Candidates'!I12,0)</x:f>
        <x:v>0</x:v>
      </x:c>
      <x:c r="H19" s="23" t="n">
        <x:f>'Candidates'!P12</x:f>
        <x:v>0.023205</x:v>
      </x:c>
      <x:c r="I19" s="23" t="n">
        <x:f>'Candidates'!S12</x:f>
        <x:v>-0.296689</x:v>
      </x:c>
    </x:row>
    <x:row r="20">
      <x:c r="A20" t="n">
        <x:f>'Candidates'!C13</x:f>
        <x:v>9</x:v>
      </x:c>
      <x:c r="B20" s="21" t="str">
        <x:v>No</x:v>
      </x:c>
      <x:c r="C20" t="str">
        <x:f>'Candidates'!B13</x:f>
        <x:v>Esenyurt Square</x:v>
      </x:c>
      <x:c r="D20" s="31" t="n">
        <x:f>'Candidates'!D13</x:f>
        <x:v>74.17</x:v>
      </x:c>
      <x:c r="E20" s="33" t="n">
        <x:f>IF(B20="Yes",'Candidates'!E13*$B$6,0)</x:f>
        <x:v>0</x:v>
      </x:c>
      <x:c r="F20" s="33" t="n">
        <x:f>IF(B20="Yes",'Candidates'!Q13*$B$7,0)</x:f>
        <x:v>0</x:v>
      </x:c>
      <x:c r="G20" s="32" t="n">
        <x:f>IF(B20="Yes",'Candidates'!I13,0)</x:f>
        <x:v>0</x:v>
      </x:c>
      <x:c r="H20" s="23" t="n">
        <x:f>'Candidates'!P13</x:f>
        <x:v>0.00302</x:v>
      </x:c>
      <x:c r="I20" s="23" t="n">
        <x:f>'Candidates'!S13</x:f>
        <x:v>-0.404747</x:v>
      </x:c>
    </x:row>
    <x:row r="21">
      <x:c r="A21" t="n">
        <x:f>'Candidates'!C14</x:f>
        <x:v>10</x:v>
      </x:c>
      <x:c r="B21" s="21" t="str">
        <x:v>No</x:v>
      </x:c>
      <x:c r="C21" t="str">
        <x:f>'Candidates'!B14</x:f>
        <x:v>Basaksehir Center</x:v>
      </x:c>
      <x:c r="D21" s="31" t="n">
        <x:f>'Candidates'!D14</x:f>
        <x:v>73.694</x:v>
      </x:c>
      <x:c r="E21" s="33" t="n">
        <x:f>IF(B21="Yes",'Candidates'!E14*$B$6,0)</x:f>
        <x:v>0</x:v>
      </x:c>
      <x:c r="F21" s="33" t="n">
        <x:f>IF(B21="Yes",'Candidates'!Q14*$B$7,0)</x:f>
        <x:v>0</x:v>
      </x:c>
      <x:c r="G21" s="32" t="n">
        <x:f>IF(B21="Yes",'Candidates'!I14,0)</x:f>
        <x:v>0</x:v>
      </x:c>
      <x:c r="H21" s="23" t="n">
        <x:f>'Candidates'!P14</x:f>
        <x:v>0.005417</x:v>
      </x:c>
      <x:c r="I21" s="23" t="n">
        <x:f>'Candidates'!S14</x:f>
        <x:v>-1.021572</x:v>
      </x:c>
    </x:row>
    <x:row r="22">
      <x:c r="A22" t="n">
        <x:f>'Candidates'!C15</x:f>
        <x:v>11</x:v>
      </x:c>
      <x:c r="B22" s="21" t="str">
        <x:v>No</x:v>
      </x:c>
      <x:c r="C22" t="str">
        <x:f>'Candidates'!B15</x:f>
        <x:v>Beylikduzu Marina</x:v>
      </x:c>
      <x:c r="D22" s="31" t="n">
        <x:f>'Candidates'!D15</x:f>
        <x:v>72.787</x:v>
      </x:c>
      <x:c r="E22" s="33" t="n">
        <x:f>IF(B22="Yes",'Candidates'!E15*$B$6,0)</x:f>
        <x:v>0</x:v>
      </x:c>
      <x:c r="F22" s="33" t="n">
        <x:f>IF(B22="Yes",'Candidates'!Q15*$B$7,0)</x:f>
        <x:v>0</x:v>
      </x:c>
      <x:c r="G22" s="32" t="n">
        <x:f>IF(B22="Yes",'Candidates'!I15,0)</x:f>
        <x:v>0</x:v>
      </x:c>
      <x:c r="H22" s="23" t="n">
        <x:f>'Candidates'!P15</x:f>
        <x:v>0.001689</x:v>
      </x:c>
      <x:c r="I22" s="23" t="n">
        <x:f>'Candidates'!S15</x:f>
        <x:v>-0.534856</x:v>
      </x:c>
    </x:row>
    <x:row r="23">
      <x:c r="A23" t="n">
        <x:f>'Candidates'!C16</x:f>
        <x:v>12</x:v>
      </x:c>
      <x:c r="B23" s="21" t="str">
        <x:v>No</x:v>
      </x:c>
      <x:c r="C23" t="str">
        <x:f>'Candidates'!B16</x:f>
        <x:v>Buyukcekmece Center</x:v>
      </x:c>
      <x:c r="D23" s="31" t="n">
        <x:f>'Candidates'!D16</x:f>
        <x:v>72.693</x:v>
      </x:c>
      <x:c r="E23" s="33" t="n">
        <x:f>IF(B23="Yes",'Candidates'!E16*$B$6,0)</x:f>
        <x:v>0</x:v>
      </x:c>
      <x:c r="F23" s="33" t="n">
        <x:f>IF(B23="Yes",'Candidates'!Q16*$B$7,0)</x:f>
        <x:v>0</x:v>
      </x:c>
      <x:c r="G23" s="32" t="n">
        <x:f>IF(B23="Yes",'Candidates'!I16,0)</x:f>
        <x:v>0</x:v>
      </x:c>
      <x:c r="H23" s="23" t="n">
        <x:f>'Candidates'!P16</x:f>
        <x:v>0.000437</x:v>
      </x:c>
      <x:c r="I23" s="23" t="n">
        <x:f>'Candidates'!S16</x:f>
        <x:v>-0.75679</x:v>
      </x:c>
    </x:row>
    <x:row r="24">
      <x:c r="A24" t="n">
        <x:f>'Candidates'!C17</x:f>
        <x:v>13</x:v>
      </x:c>
      <x:c r="B24" s="21" t="str">
        <x:v>No</x:v>
      </x:c>
      <x:c r="C24" t="str">
        <x:f>'Candidates'!B17</x:f>
        <x:v>Zeytinburnu Transit</x:v>
      </x:c>
      <x:c r="D24" s="31" t="n">
        <x:f>'Candidates'!D17</x:f>
        <x:v>72.524</x:v>
      </x:c>
      <x:c r="E24" s="33" t="n">
        <x:f>IF(B24="Yes",'Candidates'!E17*$B$6,0)</x:f>
        <x:v>0</x:v>
      </x:c>
      <x:c r="F24" s="33" t="n">
        <x:f>IF(B24="Yes",'Candidates'!Q17*$B$7,0)</x:f>
        <x:v>0</x:v>
      </x:c>
      <x:c r="G24" s="32" t="n">
        <x:f>IF(B24="Yes",'Candidates'!I17,0)</x:f>
        <x:v>0</x:v>
      </x:c>
      <x:c r="H24" s="23" t="n">
        <x:f>'Candidates'!P17</x:f>
        <x:v>0.454724</x:v>
      </x:c>
      <x:c r="I24" s="23" t="n">
        <x:f>'Candidates'!S17</x:f>
        <x:v>-0.414335</x:v>
      </x:c>
    </x:row>
    <x:row r="25">
      <x:c r="A25" t="n">
        <x:f>'Candidates'!C18</x:f>
        <x:v>14</x:v>
      </x:c>
      <x:c r="B25" s="21" t="str">
        <x:v>No</x:v>
      </x:c>
      <x:c r="C25" t="str">
        <x:f>'Candidates'!B18</x:f>
        <x:v>Bayrampasa Forum</x:v>
      </x:c>
      <x:c r="D25" s="31" t="n">
        <x:f>'Candidates'!D18</x:f>
        <x:v>72.326</x:v>
      </x:c>
      <x:c r="E25" s="33" t="n">
        <x:f>IF(B25="Yes",'Candidates'!E18*$B$6,0)</x:f>
        <x:v>0</x:v>
      </x:c>
      <x:c r="F25" s="33" t="n">
        <x:f>IF(B25="Yes",'Candidates'!Q18*$B$7,0)</x:f>
        <x:v>0</x:v>
      </x:c>
      <x:c r="G25" s="32" t="n">
        <x:f>IF(B25="Yes",'Candidates'!I18,0)</x:f>
        <x:v>0</x:v>
      </x:c>
      <x:c r="H25" s="23" t="n">
        <x:f>'Candidates'!P18</x:f>
        <x:v>0.086946</x:v>
      </x:c>
      <x:c r="I25" s="23" t="n">
        <x:f>'Candidates'!S18</x:f>
        <x:v>-0.343842</x:v>
      </x:c>
    </x:row>
    <x:row r="26">
      <x:c r="A26" t="n">
        <x:f>'Candidates'!C19</x:f>
        <x:v>15</x:v>
      </x:c>
      <x:c r="B26" s="21" t="str">
        <x:v>No</x:v>
      </x:c>
      <x:c r="C26" t="str">
        <x:f>'Candidates'!B19</x:f>
        <x:v>Cekmekoy Center</x:v>
      </x:c>
      <x:c r="D26" s="31" t="n">
        <x:f>'Candidates'!D19</x:f>
        <x:v>68.818</x:v>
      </x:c>
      <x:c r="E26" s="33" t="n">
        <x:f>IF(B26="Yes",'Candidates'!E19*$B$6,0)</x:f>
        <x:v>0</x:v>
      </x:c>
      <x:c r="F26" s="33" t="n">
        <x:f>IF(B26="Yes",'Candidates'!Q19*$B$7,0)</x:f>
        <x:v>0</x:v>
      </x:c>
      <x:c r="G26" s="32" t="n">
        <x:f>IF(B26="Yes",'Candidates'!I19,0)</x:f>
        <x:v>0</x:v>
      </x:c>
      <x:c r="H26" s="23" t="n">
        <x:f>'Candidates'!P19</x:f>
        <x:v>0.312443</x:v>
      </x:c>
      <x:c r="I26" s="23" t="n">
        <x:f>'Candidates'!S19</x:f>
        <x:v>-0.887518</x:v>
      </x:c>
    </x:row>
    <x:row r="27">
      <x:c r="A27" t="n">
        <x:f>'Candidates'!C20</x:f>
        <x:v>16</x:v>
      </x:c>
      <x:c r="B27" s="21" t="str">
        <x:v>No</x:v>
      </x:c>
      <x:c r="C27" t="str">
        <x:f>'Candidates'!B20</x:f>
        <x:v>Kartal Junction</x:v>
      </x:c>
      <x:c r="D27" s="31" t="n">
        <x:f>'Candidates'!D20</x:f>
        <x:v>67.701</x:v>
      </x:c>
      <x:c r="E27" s="33" t="n">
        <x:f>IF(B27="Yes",'Candidates'!E20*$B$6,0)</x:f>
        <x:v>0</x:v>
      </x:c>
      <x:c r="F27" s="33" t="n">
        <x:f>IF(B27="Yes",'Candidates'!Q20*$B$7,0)</x:f>
        <x:v>0</x:v>
      </x:c>
      <x:c r="G27" s="32" t="n">
        <x:f>IF(B27="Yes",'Candidates'!I20,0)</x:f>
        <x:v>0</x:v>
      </x:c>
      <x:c r="H27" s="23" t="n">
        <x:f>'Candidates'!P20</x:f>
        <x:v>0.220433</x:v>
      </x:c>
      <x:c r="I27" s="23" t="n">
        <x:f>'Candidates'!S20</x:f>
        <x:v>-0.899513</x:v>
      </x:c>
    </x:row>
    <x:row r="28">
      <x:c r="A28" t="n">
        <x:f>'Candidates'!C21</x:f>
        <x:v>17</x:v>
      </x:c>
      <x:c r="B28" s="21" t="str">
        <x:v>No</x:v>
      </x:c>
      <x:c r="C28" t="str">
        <x:f>'Candidates'!B21</x:f>
        <x:v>Maltepe Coastal</x:v>
      </x:c>
      <x:c r="D28" s="31" t="n">
        <x:f>'Candidates'!D21</x:f>
        <x:v>66.916</x:v>
      </x:c>
      <x:c r="E28" s="33" t="n">
        <x:f>IF(B28="Yes",'Candidates'!E21*$B$6,0)</x:f>
        <x:v>0</x:v>
      </x:c>
      <x:c r="F28" s="33" t="n">
        <x:f>IF(B28="Yes",'Candidates'!Q21*$B$7,0)</x:f>
        <x:v>0</x:v>
      </x:c>
      <x:c r="G28" s="32" t="n">
        <x:f>IF(B28="Yes",'Candidates'!I21,0)</x:f>
        <x:v>0</x:v>
      </x:c>
      <x:c r="H28" s="23" t="n">
        <x:f>'Candidates'!P21</x:f>
        <x:v>0.678861</x:v>
      </x:c>
      <x:c r="I28" s="23" t="n">
        <x:f>'Candidates'!S21</x:f>
        <x:v>-0.357912</x:v>
      </x:c>
    </x:row>
    <x:row r="29">
      <x:c r="A29" t="n">
        <x:f>'Candidates'!C22</x:f>
        <x:v>18</x:v>
      </x:c>
      <x:c r="B29" s="21" t="str">
        <x:v>No</x:v>
      </x:c>
      <x:c r="C29" t="str">
        <x:f>'Candidates'!B22</x:f>
        <x:v>Gokturk Center</x:v>
      </x:c>
      <x:c r="D29" s="31" t="n">
        <x:f>'Candidates'!D22</x:f>
        <x:v>57.022</x:v>
      </x:c>
      <x:c r="E29" s="33" t="n">
        <x:f>IF(B29="Yes",'Candidates'!E22*$B$6,0)</x:f>
        <x:v>0</x:v>
      </x:c>
      <x:c r="F29" s="33" t="n">
        <x:f>IF(B29="Yes",'Candidates'!Q22*$B$7,0)</x:f>
        <x:v>0</x:v>
      </x:c>
      <x:c r="G29" s="32" t="n">
        <x:f>IF(B29="Yes",'Candidates'!I22,0)</x:f>
        <x:v>0</x:v>
      </x:c>
      <x:c r="H29" s="23" t="n">
        <x:f>'Candidates'!P22</x:f>
        <x:v>0.005367</x:v>
      </x:c>
      <x:c r="I29" s="23" t="n">
        <x:f>'Candidates'!S22</x:f>
        <x:v>-1.244567</x:v>
      </x:c>
    </x:row>
    <x:row r="30">
      <x:c r="A30" t="n">
        <x:f>'Candidates'!C23</x:f>
        <x:v>19</x:v>
      </x:c>
      <x:c r="B30" s="21" t="str">
        <x:v>No</x:v>
      </x:c>
      <x:c r="C30" t="str">
        <x:f>'Candidates'!B23</x:f>
        <x:v>Atasehir Finance</x:v>
      </x:c>
      <x:c r="D30" s="31" t="n">
        <x:f>'Candidates'!D23</x:f>
        <x:v>55.255</x:v>
      </x:c>
      <x:c r="E30" s="33" t="n">
        <x:f>IF(B30="Yes",'Candidates'!E23*$B$6,0)</x:f>
        <x:v>0</x:v>
      </x:c>
      <x:c r="F30" s="33" t="n">
        <x:f>IF(B30="Yes",'Candidates'!Q23*$B$7,0)</x:f>
        <x:v>0</x:v>
      </x:c>
      <x:c r="G30" s="32" t="n">
        <x:f>IF(B30="Yes",'Candidates'!I23,0)</x:f>
        <x:v>0</x:v>
      </x:c>
      <x:c r="H30" s="23" t="n">
        <x:f>'Candidates'!P23</x:f>
        <x:v>0.929426</x:v>
      </x:c>
      <x:c r="I30" s="23" t="n">
        <x:f>'Candidates'!S23</x:f>
        <x:v>-0.975274</x:v>
      </x:c>
    </x:row>
    <x:row r="31">
      <x:c r="A31" t="n">
        <x:f>'Candidates'!C24</x:f>
        <x:v>20</x:v>
      </x:c>
      <x:c r="B31" s="21" t="str">
        <x:v>No</x:v>
      </x:c>
      <x:c r="C31" t="str">
        <x:f>'Candidates'!B24</x:f>
        <x:v>Tuzla Technology</x:v>
      </x:c>
      <x:c r="D31" s="31" t="n">
        <x:f>'Candidates'!D24</x:f>
        <x:v>54.895</x:v>
      </x:c>
      <x:c r="E31" s="33" t="n">
        <x:f>IF(B31="Yes",'Candidates'!E24*$B$6,0)</x:f>
        <x:v>0</x:v>
      </x:c>
      <x:c r="F31" s="33" t="n">
        <x:f>IF(B31="Yes",'Candidates'!Q24*$B$7,0)</x:f>
        <x:v>0</x:v>
      </x:c>
      <x:c r="G31" s="32" t="n">
        <x:f>IF(B31="Yes",'Candidates'!I24,0)</x:f>
        <x:v>0</x:v>
      </x:c>
      <x:c r="H31" s="23" t="n">
        <x:f>'Candidates'!P24</x:f>
        <x:v>0.002294</x:v>
      </x:c>
      <x:c r="I31" s="23" t="n">
        <x:f>'Candidates'!S24</x:f>
        <x:v>-1.118437</x:v>
      </x:c>
    </x:row>
    <x:row r="32">
      <x:c r="A32" t="n">
        <x:f>'Candidates'!C25</x:f>
        <x:v>21</x:v>
      </x:c>
      <x:c r="B32" s="21" t="str">
        <x:v>No</x:v>
      </x:c>
      <x:c r="C32" t="str">
        <x:f>'Candidates'!B25</x:f>
        <x:v>Sariyer Corridor</x:v>
      </x:c>
      <x:c r="D32" s="31" t="n">
        <x:f>'Candidates'!D25</x:f>
        <x:v>51.904</x:v>
      </x:c>
      <x:c r="E32" s="33" t="n">
        <x:f>IF(B32="Yes",'Candidates'!E25*$B$6,0)</x:f>
        <x:v>0</x:v>
      </x:c>
      <x:c r="F32" s="33" t="n">
        <x:f>IF(B32="Yes",'Candidates'!Q25*$B$7,0)</x:f>
        <x:v>0</x:v>
      </x:c>
      <x:c r="G32" s="32" t="n">
        <x:f>IF(B32="Yes",'Candidates'!I25,0)</x:f>
        <x:v>0</x:v>
      </x:c>
      <x:c r="H32" s="23" t="n">
        <x:f>'Candidates'!P25</x:f>
        <x:v>0.019472</x:v>
      </x:c>
      <x:c r="I32" s="23" t="n">
        <x:f>'Candidates'!S25</x:f>
        <x:v>-1.700585</x:v>
      </x:c>
    </x:row>
    <x:row r="33">
      <x:c r="A33" t="n">
        <x:f>'Candidates'!C26</x:f>
        <x:v>22</x:v>
      </x:c>
      <x:c r="B33" s="21" t="str">
        <x:v>No</x:v>
      </x:c>
      <x:c r="C33" t="str">
        <x:f>'Candidates'!B26</x:f>
        <x:v>Arnavutkoy Center</x:v>
      </x:c>
      <x:c r="D33" s="31" t="n">
        <x:f>'Candidates'!D26</x:f>
        <x:v>49.786</x:v>
      </x:c>
      <x:c r="E33" s="33" t="n">
        <x:f>IF(B33="Yes",'Candidates'!E26*$B$6,0)</x:f>
        <x:v>0</x:v>
      </x:c>
      <x:c r="F33" s="33" t="n">
        <x:f>IF(B33="Yes",'Candidates'!Q26*$B$7,0)</x:f>
        <x:v>0</x:v>
      </x:c>
      <x:c r="G33" s="32" t="n">
        <x:f>IF(B33="Yes",'Candidates'!I26,0)</x:f>
        <x:v>0</x:v>
      </x:c>
      <x:c r="H33" s="23" t="n">
        <x:f>'Candidates'!P26</x:f>
        <x:v>0.000377</x:v>
      </x:c>
      <x:c r="I33" s="23" t="n">
        <x:f>'Candidates'!S26</x:f>
        <x:v>-1.931784</x:v>
      </x:c>
    </x:row>
    <x:row r="34">
      <x:c r="A34" t="n">
        <x:f>'Candidates'!C27</x:f>
        <x:v>23</x:v>
      </x:c>
      <x:c r="B34" s="21" t="str">
        <x:v>No</x:v>
      </x:c>
      <x:c r="C34" t="str">
        <x:f>'Candidates'!B27</x:f>
        <x:v>Umraniye Center</x:v>
      </x:c>
      <x:c r="D34" s="31" t="n">
        <x:f>'Candidates'!D27</x:f>
        <x:v>41.205</x:v>
      </x:c>
      <x:c r="E34" s="33" t="n">
        <x:f>IF(B34="Yes",'Candidates'!E27*$B$6,0)</x:f>
        <x:v>0</x:v>
      </x:c>
      <x:c r="F34" s="33" t="n">
        <x:f>IF(B34="Yes",'Candidates'!Q27*$B$7,0)</x:f>
        <x:v>0</x:v>
      </x:c>
      <x:c r="G34" s="32" t="n">
        <x:f>IF(B34="Yes",'Candidates'!I27,0)</x:f>
        <x:v>0</x:v>
      </x:c>
      <x:c r="H34" s="23" t="n">
        <x:f>'Candidates'!P27</x:f>
        <x:v>0.8502</x:v>
      </x:c>
      <x:c r="I34" s="23" t="n">
        <x:f>'Candidates'!S27</x:f>
        <x:v>-1.710486</x:v>
      </x:c>
    </x:row>
    <x:row r="35">
      <x:c r="A35" t="n">
        <x:f>'Candidates'!C28</x:f>
        <x:v>24</x:v>
      </x:c>
      <x:c r="B35" s="21" t="str">
        <x:v>No</x:v>
      </x:c>
      <x:c r="C35" t="str">
        <x:f>'Candidates'!B28</x:f>
        <x:v>Silivri Gateway</x:v>
      </x:c>
      <x:c r="D35" s="31" t="n">
        <x:f>'Candidates'!D28</x:f>
        <x:v>18.75</x:v>
      </x:c>
      <x:c r="E35" s="33" t="n">
        <x:f>IF(B35="Yes",'Candidates'!E28*$B$6,0)</x:f>
        <x:v>0</x:v>
      </x:c>
      <x:c r="F35" s="33" t="n">
        <x:f>IF(B35="Yes",'Candidates'!Q28*$B$7,0)</x:f>
        <x:v>0</x:v>
      </x:c>
      <x:c r="G35" s="32" t="n">
        <x:f>IF(B35="Yes",'Candidates'!I28,0)</x:f>
        <x:v>0</x:v>
      </x:c>
      <x:c r="H35" s="23" t="n">
        <x:f>'Candidates'!P28</x:f>
        <x:v>0</x:v>
      </x:c>
      <x:c r="I35" s="23" t="n">
        <x:f>'Candidates'!S28</x:f>
        <x:v>-3.107432</x:v>
      </x:c>
    </x:row>
  </x:sheetData>
  <x:mergeCells>
    <x:mergeCell ref="A1:L1"/>
    <x:mergeCell ref="A2:L2"/>
  </x:mergeCells>
  <x:conditionalFormatting sqref="F6:F6">
    <x:cfRule type="containsText" dxfId="2" priority="1" operator="containsText" text="OVER"/>
  </x:conditionalFormatting>
  <x:dataValidations count="2">
    <x:dataValidation type="list" sqref="B4">
      <x:formula1>"optimistic,base,pessimistic"</x:formula1>
    </x:dataValidation>
    <x:dataValidation type="list" sqref="B12:B3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Auditable AHP Weighting</x:v>
      </x:c>
      <x:c r="B1" s="3" t="str">
        <x:v>Auditable AHP Weighting</x:v>
      </x:c>
      <x:c r="C1" s="3" t="str">
        <x:v>Auditable AHP Weighting</x:v>
      </x:c>
      <x:c r="D1" s="3" t="str">
        <x:v>Auditable AHP Weighting</x:v>
      </x:c>
      <x:c r="E1" s="3" t="str">
        <x:v>Auditable AHP Weighting</x:v>
      </x:c>
      <x:c r="F1" s="3" t="str">
        <x:v>Auditable AHP Weighting</x:v>
      </x:c>
    </x:row>
    <x:row r="2" ht="28" customHeight="1">
      <x:c r="A2" s="6" t="str">
        <x:v>Blue cells are editable. Weights are normalized automatically for scenario scoring.</x:v>
      </x:c>
      <x:c r="B2" s="6" t="str">
        <x:v>Blue cells are editable. Weights are normalized automatically for scenario scoring.</x:v>
      </x:c>
      <x:c r="C2" s="6" t="str">
        <x:v>Blue cells are editable. Weights are normalized automatically for scenario scoring.</x:v>
      </x:c>
      <x:c r="D2" s="6" t="str">
        <x:v>Blue cells are editable. Weights are normalized automatically for scenario scoring.</x:v>
      </x:c>
      <x:c r="E2" s="6" t="str">
        <x:v>Blue cells are editable. Weights are normalized automatically for scenario scoring.</x:v>
      </x:c>
      <x:c r="F2" s="6" t="str">
        <x:v>Blue cells are editable. Weights are normalized automatically for scenario scoring.</x:v>
      </x:c>
    </x:row>
    <x:row r="3">
      <x:c r="A3" s="26"/>
      <x:c r="B3" s="26"/>
      <x:c r="C3" s="26"/>
      <x:c r="D3" s="26"/>
      <x:c r="E3" s="26"/>
      <x:c r="F3" s="26"/>
    </x:row>
    <x:row r="4" ht="30" customHeight="1">
      <x:c r="A4" s="18" t="str">
        <x:v>Factor</x:v>
      </x:c>
      <x:c r="B4" s="19" t="str">
        <x:v>Definition</x:v>
      </x:c>
      <x:c r="C4" s="19" t="str">
        <x:v>Direction</x:v>
      </x:c>
      <x:c r="D4" s="19" t="str">
        <x:v>Input Weight</x:v>
      </x:c>
      <x:c r="E4" s="19" t="str">
        <x:v>Normalized Weight</x:v>
      </x:c>
      <x:c r="F4" s="20" t="str">
        <x:v>Weight Check</x:v>
      </x:c>
    </x:row>
    <x:row r="5">
      <x:c r="A5" s="26" t="str">
        <x:v>market_potential</x:v>
      </x:c>
      <x:c r="B5" s="26" t="str">
        <x:v>Predicted annual sales</x:v>
      </x:c>
      <x:c r="C5" s="26" t="str">
        <x:v>higher</x:v>
      </x:c>
      <x:c r="D5" s="27" t="n">
        <x:v>0.22999999999999993</x:v>
      </x:c>
      <x:c r="E5" s="28" t="n">
        <x:f>D5/SUM($D$5:$D$12)</x:f>
        <x:v>0.22999999999999987</x:v>
      </x:c>
      <x:c r="F5" s="28" t="n">
        <x:f>SUM($E$5:$E$12)</x:f>
        <x:v>1</x:v>
      </x:c>
    </x:row>
    <x:row r="6">
      <x:c r="A6" s="26" t="str">
        <x:v>accessibility</x:v>
      </x:c>
      <x:c r="B6" s="26" t="str">
        <x:v>10-min drive + 15-min walk population</x:v>
      </x:c>
      <x:c r="C6" s="26" t="str">
        <x:v>higher</x:v>
      </x:c>
      <x:c r="D6" s="27" t="n">
        <x:v>0.1500000000000002</x:v>
      </x:c>
      <x:c r="E6" s="28" t="n">
        <x:f>D6/SUM($D$5:$D$12)</x:f>
        <x:v>0.15000000000000016</x:v>
      </x:c>
      <x:c r="F6" s="28" t="n">
        <x:f>SUM($E$5:$E$12)</x:f>
        <x:v>1</x:v>
      </x:c>
    </x:row>
    <x:row r="7">
      <x:c r="A7" s="26" t="str">
        <x:v>commercial_attraction</x:v>
      </x:c>
      <x:c r="B7" s="26" t="str">
        <x:v>Commercial, transit, POI and Huff pull</x:v>
      </x:c>
      <x:c r="C7" s="26" t="str">
        <x:v>higher</x:v>
      </x:c>
      <x:c r="D7" s="27" t="n">
        <x:v>0.11000000000000003</x:v>
      </x:c>
      <x:c r="E7" s="28" t="n">
        <x:f>D7/SUM($D$5:$D$12)</x:f>
        <x:v>0.11</x:v>
      </x:c>
      <x:c r="F7" s="28" t="n">
        <x:f>SUM($E$5:$E$12)</x:f>
        <x:v>1</x:v>
      </x:c>
    </x:row>
    <x:row r="8">
      <x:c r="A8" s="26" t="str">
        <x:v>white_space</x:v>
      </x:c>
      <x:c r="B8" s="26" t="str">
        <x:v>Capture adjusted for competition and diversion</x:v>
      </x:c>
      <x:c r="C8" s="26" t="str">
        <x:v>higher</x:v>
      </x:c>
      <x:c r="D8" s="27" t="n">
        <x:v>0.12000000000000001</x:v>
      </x:c>
      <x:c r="E8" s="28" t="n">
        <x:f>D8/SUM($D$5:$D$12)</x:f>
        <x:v>0.11999999999999998</x:v>
      </x:c>
      <x:c r="F8" s="28" t="n">
        <x:f>SUM($E$5:$E$12)</x:f>
        <x:v>1</x:v>
      </x:c>
    </x:row>
    <x:row r="9">
      <x:c r="A9" s="26" t="str">
        <x:v>cost_efficiency</x:v>
      </x:c>
      <x:c r="B9" s="26" t="str">
        <x:v>Inverse opening and operating cost burden</x:v>
      </x:c>
      <x:c r="C9" s="26" t="str">
        <x:v>higher</x:v>
      </x:c>
      <x:c r="D9" s="27" t="n">
        <x:v>0.10000000000000002</x:v>
      </x:c>
      <x:c r="E9" s="28" t="n">
        <x:f>D9/SUM($D$5:$D$12)</x:f>
        <x:v>0.09999999999999999</x:v>
      </x:c>
      <x:c r="F9" s="28" t="n">
        <x:f>SUM($E$5:$E$12)</x:f>
        <x:v>1</x:v>
      </x:c>
    </x:row>
    <x:row r="10">
      <x:c r="A10" s="26" t="str">
        <x:v>cannibalization_resilience</x:v>
      </x:c>
      <x:c r="B10" s="26" t="str">
        <x:v>One minus overlap/diversion risk</x:v>
      </x:c>
      <x:c r="C10" s="26" t="str">
        <x:v>higher</x:v>
      </x:c>
      <x:c r="D10" s="27" t="n">
        <x:v>0.11000000000000003</x:v>
      </x:c>
      <x:c r="E10" s="28" t="n">
        <x:f>D10/SUM($D$5:$D$12)</x:f>
        <x:v>0.11</x:v>
      </x:c>
      <x:c r="F10" s="28" t="n">
        <x:f>SUM($E$5:$E$12)</x:f>
        <x:v>1</x:v>
      </x:c>
    </x:row>
    <x:row r="11">
      <x:c r="A11" s="26" t="str">
        <x:v>profitability</x:v>
      </x:c>
      <x:c r="B11" s="26" t="str">
        <x:v>Three-year ROI proxy</x:v>
      </x:c>
      <x:c r="C11" s="26" t="str">
        <x:v>higher</x:v>
      </x:c>
      <x:c r="D11" s="27" t="n">
        <x:v>0.13</x:v>
      </x:c>
      <x:c r="E11" s="28" t="n">
        <x:f>D11/SUM($D$5:$D$12)</x:f>
        <x:v>0.12999999999999998</x:v>
      </x:c>
      <x:c r="F11" s="28" t="n">
        <x:f>SUM($E$5:$E$12)</x:f>
        <x:v>1</x:v>
      </x:c>
    </x:row>
    <x:row r="12">
      <x:c r="A12" s="26" t="str">
        <x:v>delivery_confidence</x:v>
      </x:c>
      <x:c r="B12" s="26" t="str">
        <x:v>Execution and prediction certainty</x:v>
      </x:c>
      <x:c r="C12" s="26" t="str">
        <x:v>higher</x:v>
      </x:c>
      <x:c r="D12" s="27" t="n">
        <x:v>0.05000000000000001</x:v>
      </x:c>
      <x:c r="E12" s="28" t="n">
        <x:f>D12/SUM($D$5:$D$12)</x:f>
        <x:v>0.049999999999999996</x:v>
      </x:c>
      <x:c r="F12" s="28" t="n">
        <x:f>SUM($E$5:$E$12)</x:f>
        <x:v>1</x:v>
      </x:c>
    </x:row>
    <x:row r="13">
      <x:c r="A13" s="26"/>
      <x:c r="B13" s="26"/>
      <x:c r="C13" s="26"/>
      <x:c r="D13" s="26"/>
      <x:c r="E13" s="26"/>
      <x:c r="F13" s="26"/>
    </x:row>
    <x:row r="14">
      <x:c r="A14" s="29" t="str">
        <x:v>Method</x:v>
      </x:c>
      <x:c r="B14" s="30" t="str">
        <x:v>Reciprocal AHP matrix derived from the approved base weights</x:v>
      </x:c>
      <x:c r="C14" s="30"/>
      <x:c r="D14" s="30"/>
      <x:c r="E14" s="30"/>
      <x:c r="F14" s="30"/>
    </x:row>
    <x:row r="15">
      <x:c r="A15" s="29" t="str">
        <x:v>Consistency ratio</x:v>
      </x:c>
      <x:c r="B15" s="30" t="n">
        <x:v>5.4e-16</x:v>
      </x:c>
      <x:c r="C15" s="30" t="str">
        <x:v>Pass threshold</x:v>
      </x:c>
      <x:c r="D15" s="30" t="n">
        <x:v>0.1</x:v>
      </x:c>
      <x:c r="E15" s="30" t="str">
        <x:v>Status</x:v>
      </x:c>
      <x:c r="F15" s="30" t="str">
        <x:v>PASS</x:v>
      </x:c>
    </x:row>
    <x:row r="16">
      <x:c r="A16" s="29" t="str">
        <x:v>Audit note</x:v>
      </x:c>
      <x:c r="B16" s="30" t="str">
        <x:v>Final score = SUMPRODUCT(normalized factor values, normalized weights) x 100</x:v>
      </x:c>
      <x:c r="C16" s="30"/>
      <x:c r="D16" s="30"/>
      <x:c r="E16" s="30"/>
      <x:c r="F16" s="30"/>
    </x:row>
  </x:sheetData>
  <x:mergeCells>
    <x:mergeCell ref="A1:F1"/>
    <x:mergeCell ref="A2:F2"/>
  </x:mergeCells>
  <x:conditionalFormatting sqref="F5:F12">
    <x:cfRule type="cellIs" dxfId="0" priority="1" operator="notEqual">
      <x:formula>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 ht="34" customHeight="1">
      <x:c r="A1" s="3" t="str">
        <x:v>Candidate Source Table</x:v>
      </x:c>
      <x:c r="B1" s="3" t="str">
        <x:v>Candidate Source Table</x:v>
      </x:c>
      <x:c r="C1" s="3" t="str">
        <x:v>Candidate Source Table</x:v>
      </x:c>
      <x:c r="D1" s="3" t="str">
        <x:v>Candidate Source Table</x:v>
      </x:c>
      <x:c r="E1" s="3" t="str">
        <x:v>Candidate Source Table</x:v>
      </x:c>
      <x:c r="F1" s="3" t="str">
        <x:v>Candidate Source Table</x:v>
      </x:c>
      <x:c r="G1" s="3" t="str">
        <x:v>Candidate Source Table</x:v>
      </x:c>
      <x:c r="H1" s="3" t="str">
        <x:v>Candidate Source Table</x:v>
      </x:c>
      <x:c r="I1" s="3" t="str">
        <x:v>Candidate Source Table</x:v>
      </x:c>
      <x:c r="J1" s="3" t="str">
        <x:v>Candidate Source Table</x:v>
      </x:c>
      <x:c r="K1" s="3" t="str">
        <x:v>Candidate Source Table</x:v>
      </x:c>
      <x:c r="L1" s="3" t="str">
        <x:v>Candidate Source Table</x:v>
      </x:c>
      <x:c r="M1" s="3" t="str">
        <x:v>Candidate Source Table</x:v>
      </x:c>
      <x:c r="N1" s="3" t="str">
        <x:v>Candidate Source Table</x:v>
      </x:c>
      <x:c r="O1" s="3" t="str">
        <x:v>Candidate Source Table</x:v>
      </x:c>
      <x:c r="P1" s="3" t="str">
        <x:v>Candidate Source Table</x:v>
      </x:c>
      <x:c r="Q1" s="3" t="str">
        <x:v>Candidate Source Table</x:v>
      </x:c>
      <x:c r="R1" s="3" t="str">
        <x:v>Candidate Source Table</x:v>
      </x:c>
      <x:c r="S1" s="3" t="str">
        <x:v>Candidate Source Table</x:v>
      </x:c>
      <x:c r="T1" s="3" t="str">
        <x:v>Candidate Source Table</x:v>
      </x:c>
      <x:c r="U1" s="3" t="str">
        <x:v>Candidate Source Table</x:v>
      </x:c>
      <x:c r="V1" s="3" t="str">
        <x:v>Candidate Source Table</x:v>
      </x:c>
      <x:c r="W1" s="3" t="str">
        <x:v>Candidate Source Table</x:v>
      </x:c>
      <x:c r="X1" s="3" t="str">
        <x:v>Candidate Source Table</x:v>
      </x:c>
      <x:c r="Y1" s="3" t="str">
        <x:v>Candidate Source Table</x:v>
      </x:c>
    </x:row>
    <x:row r="2" ht="28" customHeight="1">
      <x:c r="A2" s="6" t="str">
        <x:v>Pipeline outputs. Commercial and performance fields are deterministic synthetic data.</x:v>
      </x:c>
      <x:c r="B2" s="6" t="str">
        <x:v>Pipeline outputs. Commercial and performance fields are deterministic synthetic data.</x:v>
      </x:c>
      <x:c r="C2" s="6" t="str">
        <x:v>Pipeline outputs. Commercial and performance fields are deterministic synthetic data.</x:v>
      </x:c>
      <x:c r="D2" s="6" t="str">
        <x:v>Pipeline outputs. Commercial and performance fields are deterministic synthetic data.</x:v>
      </x:c>
      <x:c r="E2" s="6" t="str">
        <x:v>Pipeline outputs. Commercial and performance fields are deterministic synthetic data.</x:v>
      </x:c>
      <x:c r="F2" s="6" t="str">
        <x:v>Pipeline outputs. Commercial and performance fields are deterministic synthetic data.</x:v>
      </x:c>
      <x:c r="G2" s="6" t="str">
        <x:v>Pipeline outputs. Commercial and performance fields are deterministic synthetic data.</x:v>
      </x:c>
      <x:c r="H2" s="6" t="str">
        <x:v>Pipeline outputs. Commercial and performance fields are deterministic synthetic data.</x:v>
      </x:c>
      <x:c r="I2" s="6" t="str">
        <x:v>Pipeline outputs. Commercial and performance fields are deterministic synthetic data.</x:v>
      </x:c>
      <x:c r="J2" s="6" t="str">
        <x:v>Pipeline outputs. Commercial and performance fields are deterministic synthetic data.</x:v>
      </x:c>
      <x:c r="K2" s="6" t="str">
        <x:v>Pipeline outputs. Commercial and performance fields are deterministic synthetic data.</x:v>
      </x:c>
      <x:c r="L2" s="6" t="str">
        <x:v>Pipeline outputs. Commercial and performance fields are deterministic synthetic data.</x:v>
      </x:c>
      <x:c r="M2" s="6" t="str">
        <x:v>Pipeline outputs. Commercial and performance fields are deterministic synthetic data.</x:v>
      </x:c>
      <x:c r="N2" s="6" t="str">
        <x:v>Pipeline outputs. Commercial and performance fields are deterministic synthetic data.</x:v>
      </x:c>
      <x:c r="O2" s="6" t="str">
        <x:v>Pipeline outputs. Commercial and performance fields are deterministic synthetic data.</x:v>
      </x:c>
      <x:c r="P2" s="6" t="str">
        <x:v>Pipeline outputs. Commercial and performance fields are deterministic synthetic data.</x:v>
      </x:c>
      <x:c r="Q2" s="6" t="str">
        <x:v>Pipeline outputs. Commercial and performance fields are deterministic synthetic data.</x:v>
      </x:c>
      <x:c r="R2" s="6" t="str">
        <x:v>Pipeline outputs. Commercial and performance fields are deterministic synthetic data.</x:v>
      </x:c>
      <x:c r="S2" s="6" t="str">
        <x:v>Pipeline outputs. Commercial and performance fields are deterministic synthetic data.</x:v>
      </x:c>
      <x:c r="T2" s="6" t="str">
        <x:v>Pipeline outputs. Commercial and performance fields are deterministic synthetic data.</x:v>
      </x:c>
      <x:c r="U2" s="6" t="str">
        <x:v>Pipeline outputs. Commercial and performance fields are deterministic synthetic data.</x:v>
      </x:c>
      <x:c r="V2" s="6" t="str">
        <x:v>Pipeline outputs. Commercial and performance fields are deterministic synthetic data.</x:v>
      </x:c>
      <x:c r="W2" s="6" t="str">
        <x:v>Pipeline outputs. Commercial and performance fields are deterministic synthetic data.</x:v>
      </x:c>
      <x:c r="X2" s="6" t="str">
        <x:v>Pipeline outputs. Commercial and performance fields are deterministic synthetic data.</x:v>
      </x:c>
      <x:c r="Y2" s="6" t="str">
        <x:v>Pipeline outputs. Commercial and performance fields are deterministic synthetic data.</x:v>
      </x:c>
    </x:row>
    <x:row r="4" ht="30" customHeight="1">
      <x:c r="A4" s="18" t="str">
        <x:v>candidate_id</x:v>
      </x:c>
      <x:c r="B4" s="19" t="str">
        <x:v>candidate_name</x:v>
      </x:c>
      <x:c r="C4" s="19" t="str">
        <x:v>location_rank</x:v>
      </x:c>
      <x:c r="D4" s="19" t="str">
        <x:v>location_score</x:v>
      </x:c>
      <x:c r="E4" s="19" t="str">
        <x:v>predicted_sales_try_m</x:v>
      </x:c>
      <x:c r="F4" s="19" t="str">
        <x:v>sales_p10_try_m</x:v>
      </x:c>
      <x:c r="G4" s="19" t="str">
        <x:v>sales_p90_try_m</x:v>
      </x:c>
      <x:c r="H4" s="19" t="str">
        <x:v>accessible_pop_drive_5</x:v>
      </x:c>
      <x:c r="I4" s="19" t="str">
        <x:v>accessible_pop_drive_10</x:v>
      </x:c>
      <x:c r="J4" s="19" t="str">
        <x:v>accessible_pop_drive_15</x:v>
      </x:c>
      <x:c r="K4" s="19" t="str">
        <x:v>accessible_pop_walk_5</x:v>
      </x:c>
      <x:c r="L4" s="19" t="str">
        <x:v>accessible_pop_walk_10</x:v>
      </x:c>
      <x:c r="M4" s="19" t="str">
        <x:v>accessible_pop_walk_15</x:v>
      </x:c>
      <x:c r="N4" s="19" t="str">
        <x:v>competitor_density_3km</x:v>
      </x:c>
      <x:c r="O4" s="19" t="str">
        <x:v>poi_density_2km</x:v>
      </x:c>
      <x:c r="P4" s="19" t="str">
        <x:v>cannibalization_risk</x:v>
      </x:c>
      <x:c r="Q4" s="19" t="str">
        <x:v>opening_cost_try_m</x:v>
      </x:c>
      <x:c r="R4" s="19" t="str">
        <x:v>annual_opex_try_m</x:v>
      </x:c>
      <x:c r="S4" s="19" t="str">
        <x:v>roi_3y</x:v>
      </x:c>
      <x:c r="T4" s="19" t="str">
        <x:v>payback_months</x:v>
      </x:c>
      <x:c r="U4" s="19" t="str">
        <x:v>recommendation_tier</x:v>
      </x:c>
      <x:c r="V4" s="19" t="str">
        <x:v>market_potential_normalized</x:v>
      </x:c>
      <x:c r="W4" s="19" t="str">
        <x:v>accessibility_normalized</x:v>
      </x:c>
      <x:c r="X4" s="19" t="str">
        <x:v>commercial_attraction_normalized</x:v>
      </x:c>
      <x:c r="Y4" s="19" t="str">
        <x:v>white_space_normalized</x:v>
      </x:c>
      <x:c r="Z4" s="19" t="str">
        <x:v>cost_efficiency_normalized</x:v>
      </x:c>
      <x:c r="AA4" s="19" t="str">
        <x:v>cannibalization_resilience_normalized</x:v>
      </x:c>
      <x:c r="AB4" s="19" t="str">
        <x:v>profitability_normalized</x:v>
      </x:c>
      <x:c r="AC4" s="20" t="str">
        <x:v>delivery_confidence_normalized</x:v>
      </x:c>
    </x:row>
    <x:row r="5">
      <x:c r="A5" t="str">
        <x:v>C24</x:v>
      </x:c>
      <x:c r="B5" t="str">
        <x:v>Ikitelli Industry</x:v>
      </x:c>
      <x:c r="C5" t="n">
        <x:v>1</x:v>
      </x:c>
      <x:c r="D5" s="31" t="n">
        <x:v>81.236</x:v>
      </x:c>
      <x:c r="E5" s="31" t="n">
        <x:v>183.107</x:v>
      </x:c>
      <x:c r="F5" s="31" t="n">
        <x:v>179.99</x:v>
      </x:c>
      <x:c r="G5" s="31" t="n">
        <x:v>185</x:v>
      </x:c>
      <x:c r="H5" s="32" t="n">
        <x:v>118859</x:v>
      </x:c>
      <x:c r="I5" s="32" t="n">
        <x:v>396396</x:v>
      </x:c>
      <x:c r="J5" s="32" t="n">
        <x:v>823788</x:v>
      </x:c>
      <x:c r="K5" s="32" t="n">
        <x:v>6922</x:v>
      </x:c>
      <x:c r="L5" s="32" t="n">
        <x:v>6922</x:v>
      </x:c>
      <x:c r="M5" s="32" t="n">
        <x:v>46272</x:v>
      </x:c>
      <x:c r="N5" t="n">
        <x:v>4</x:v>
      </x:c>
      <x:c r="O5" t="n">
        <x:v>9</x:v>
      </x:c>
      <x:c r="P5" s="23" t="n">
        <x:v>0.010471</x:v>
      </x:c>
      <x:c r="Q5" s="33" t="n">
        <x:v>23.44</x:v>
      </x:c>
      <x:c r="R5" s="33" t="n">
        <x:v>30.974</x:v>
      </x:c>
      <x:c r="S5" s="23" t="n">
        <x:v>-0.160026</x:v>
      </x:c>
      <x:c r="T5" t="n">
        <x:v>42.86</x:v>
      </x:c>
      <x:c r="U5" t="str">
        <x:v>Priority A</x:v>
      </x:c>
      <x:c r="V5" t="n">
        <x:v>0.982857</x:v>
      </x:c>
      <x:c r="W5" t="n">
        <x:v>0.973213</x:v>
      </x:c>
      <x:c r="X5" t="n">
        <x:v>0.813781</x:v>
      </x:c>
      <x:c r="Y5" t="n">
        <x:v>0.16288</x:v>
      </x:c>
      <x:c r="Z5" t="n">
        <x:v>0.658657</x:v>
      </x:c>
      <x:c r="AA5" t="n">
        <x:v>0.988734</x:v>
      </x:c>
      <x:c r="AB5" t="n">
        <x:v>0.897924</x:v>
      </x:c>
      <x:c r="AC5" t="n">
        <x:v>0.798045</x:v>
      </x:c>
    </x:row>
    <x:row r="6">
      <x:c r="A6" t="str">
        <x:v>C18</x:v>
      </x:c>
      <x:c r="B6" t="str">
        <x:v>Sultanbeyli Square</x:v>
      </x:c>
      <x:c r="C6" t="n">
        <x:v>2</x:v>
      </x:c>
      <x:c r="D6" s="31" t="n">
        <x:v>80.521</x:v>
      </x:c>
      <x:c r="E6" s="31" t="n">
        <x:v>182.32</x:v>
      </x:c>
      <x:c r="F6" s="31" t="n">
        <x:v>178.725</x:v>
      </x:c>
      <x:c r="G6" s="31" t="n">
        <x:v>185</x:v>
      </x:c>
      <x:c r="H6" s="32" t="n">
        <x:v>92521</x:v>
      </x:c>
      <x:c r="I6" s="32" t="n">
        <x:v>379553</x:v>
      </x:c>
      <x:c r="J6" s="32" t="n">
        <x:v>762107</x:v>
      </x:c>
      <x:c r="K6" s="32" t="n">
        <x:v>6690</x:v>
      </x:c>
      <x:c r="L6" s="32" t="n">
        <x:v>6690</x:v>
      </x:c>
      <x:c r="M6" s="32" t="n">
        <x:v>46806</x:v>
      </x:c>
      <x:c r="N6" t="n">
        <x:v>0</x:v>
      </x:c>
      <x:c r="O6" t="n">
        <x:v>2</x:v>
      </x:c>
      <x:c r="P6" s="23" t="n">
        <x:v>0.018037</x:v>
      </x:c>
      <x:c r="Q6" s="33" t="n">
        <x:v>22.296</x:v>
      </x:c>
      <x:c r="R6" s="33" t="n">
        <x:v>28.853</x:v>
      </x:c>
      <x:c r="S6" s="23" t="n">
        <x:v>0.146798</x:v>
      </x:c>
      <x:c r="T6" t="n">
        <x:v>31.39</x:v>
      </x:c>
      <x:c r="U6" t="str">
        <x:v>Priority A</x:v>
      </x:c>
      <x:c r="V6" t="n">
        <x:v>0.975688</x:v>
      </x:c>
      <x:c r="W6" t="n">
        <x:v>0.932107</x:v>
      </x:c>
      <x:c r="X6" t="n">
        <x:v>0.419588</x:v>
      </x:c>
      <x:c r="Y6" t="n">
        <x:v>0.534711</x:v>
      </x:c>
      <x:c r="Z6" t="n">
        <x:v>0.865789</x:v>
      </x:c>
      <x:c r="AA6" t="n">
        <x:v>0.980593</x:v>
      </x:c>
      <x:c r="AB6" t="n">
        <x:v>0.991398</x:v>
      </x:c>
      <x:c r="AC6" t="n">
        <x:v>0.146897</x:v>
      </x:c>
    </x:row>
    <x:row r="7">
      <x:c r="A7" t="str">
        <x:v>C17</x:v>
      </x:c>
      <x:c r="B7" t="str">
        <x:v>Sancaktepe Hub</x:v>
      </x:c>
      <x:c r="C7" t="n">
        <x:v>3</x:v>
      </x:c>
      <x:c r="D7" s="31" t="n">
        <x:v>80.095</x:v>
      </x:c>
      <x:c r="E7" s="31" t="n">
        <x:v>182.183</x:v>
      </x:c>
      <x:c r="F7" s="31" t="n">
        <x:v>177.711</x:v>
      </x:c>
      <x:c r="G7" s="31" t="n">
        <x:v>185</x:v>
      </x:c>
      <x:c r="H7" s="32" t="n">
        <x:v>119008</x:v>
      </x:c>
      <x:c r="I7" s="32" t="n">
        <x:v>397428</x:v>
      </x:c>
      <x:c r="J7" s="32" t="n">
        <x:v>818199</x:v>
      </x:c>
      <x:c r="K7" s="32" t="n">
        <x:v>6452</x:v>
      </x:c>
      <x:c r="L7" s="32" t="n">
        <x:v>6452</x:v>
      </x:c>
      <x:c r="M7" s="32" t="n">
        <x:v>46041</x:v>
      </x:c>
      <x:c r="N7" t="n">
        <x:v>4</x:v>
      </x:c>
      <x:c r="O7" t="n">
        <x:v>18</x:v>
      </x:c>
      <x:c r="P7" s="23" t="n">
        <x:v>0.02556</x:v>
      </x:c>
      <x:c r="Q7" s="33" t="n">
        <x:v>24.261</x:v>
      </x:c>
      <x:c r="R7" s="33" t="n">
        <x:v>30.884</x:v>
      </x:c>
      <x:c r="S7" s="23" t="n">
        <x:v>-0.200692</x:v>
      </x:c>
      <x:c r="T7" t="n">
        <x:v>45.04</x:v>
      </x:c>
      <x:c r="U7" t="str">
        <x:v>Priority A</x:v>
      </x:c>
      <x:c r="V7" t="n">
        <x:v>0.97444</x:v>
      </x:c>
      <x:c r="W7" t="n">
        <x:v>0.975541</x:v>
      </x:c>
      <x:c r="X7" t="n">
        <x:v>0.816693</x:v>
      </x:c>
      <x:c r="Y7" t="n">
        <x:v>0.075847</x:v>
      </x:c>
      <x:c r="Z7" t="n">
        <x:v>0.594663</x:v>
      </x:c>
      <x:c r="AA7" t="n">
        <x:v>0.972499</x:v>
      </x:c>
      <x:c r="AB7" t="n">
        <x:v>0.885535</x:v>
      </x:c>
      <x:c r="AC7" t="n">
        <x:v>1</x:v>
      </x:c>
    </x:row>
    <x:row r="8">
      <x:c r="A8" t="str">
        <x:v>C07</x:v>
      </x:c>
      <x:c r="B8" t="str">
        <x:v>Eyupsultan Hub</x:v>
      </x:c>
      <x:c r="C8" t="n">
        <x:v>4</x:v>
      </x:c>
      <x:c r="D8" s="31" t="n">
        <x:v>78.88</x:v>
      </x:c>
      <x:c r="E8" s="31" t="n">
        <x:v>184.944</x:v>
      </x:c>
      <x:c r="F8" s="31" t="n">
        <x:v>184.93</x:v>
      </x:c>
      <x:c r="G8" s="31" t="n">
        <x:v>185</x:v>
      </x:c>
      <x:c r="H8" s="32" t="n">
        <x:v>126631</x:v>
      </x:c>
      <x:c r="I8" s="32" t="n">
        <x:v>405849</x:v>
      </x:c>
      <x:c r="J8" s="32" t="n">
        <x:v>843811</x:v>
      </x:c>
      <x:c r="K8" s="32" t="n">
        <x:v>6452</x:v>
      </x:c>
      <x:c r="L8" s="32" t="n">
        <x:v>6452</x:v>
      </x:c>
      <x:c r="M8" s="32" t="n">
        <x:v>46944</x:v>
      </x:c>
      <x:c r="N8" t="n">
        <x:v>1</x:v>
      </x:c>
      <x:c r="O8" t="n">
        <x:v>10</x:v>
      </x:c>
      <x:c r="P8" s="23" t="n">
        <x:v>0.348754</x:v>
      </x:c>
      <x:c r="Q8" s="33" t="n">
        <x:v>23.385</x:v>
      </x:c>
      <x:c r="R8" s="33" t="n">
        <x:v>30.637</x:v>
      </x:c>
      <x:c r="S8" s="23" t="n">
        <x:v>-0.066453</x:v>
      </x:c>
      <x:c r="T8" t="n">
        <x:v>38.56</x:v>
      </x:c>
      <x:c r="U8" t="str">
        <x:v>Priority A</x:v>
      </x:c>
      <x:c r="V8" t="n">
        <x:v>0.99959</x:v>
      </x:c>
      <x:c r="W8" t="n">
        <x:v>0.997217</x:v>
      </x:c>
      <x:c r="X8" t="n">
        <x:v>0.766701</x:v>
      </x:c>
      <x:c r="Y8" t="n">
        <x:v>0.175617</x:v>
      </x:c>
      <x:c r="Z8" t="n">
        <x:v>0.679095</x:v>
      </x:c>
      <x:c r="AA8" t="n">
        <x:v>0.624764</x:v>
      </x:c>
      <x:c r="AB8" t="n">
        <x:v>0.926431</x:v>
      </x:c>
      <x:c r="AC8" t="n">
        <x:v>0.936639</x:v>
      </x:c>
    </x:row>
    <x:row r="9">
      <x:c r="A9" t="str">
        <x:v>C03</x:v>
      </x:c>
      <x:c r="B9" t="str">
        <x:v>Avcilar University</x:v>
      </x:c>
      <x:c r="C9" t="n">
        <x:v>5</x:v>
      </x:c>
      <x:c r="D9" s="31" t="n">
        <x:v>78.402</x:v>
      </x:c>
      <x:c r="E9" s="31" t="n">
        <x:v>182.37</x:v>
      </x:c>
      <x:c r="F9" s="31" t="n">
        <x:v>178.223</x:v>
      </x:c>
      <x:c r="G9" s="31" t="n">
        <x:v>185</x:v>
      </x:c>
      <x:c r="H9" s="32" t="n">
        <x:v>118989</x:v>
      </x:c>
      <x:c r="I9" s="32" t="n">
        <x:v>394377</x:v>
      </x:c>
      <x:c r="J9" s="32" t="n">
        <x:v>797930</x:v>
      </x:c>
      <x:c r="K9" s="32" t="n">
        <x:v>6452</x:v>
      </x:c>
      <x:c r="L9" s="32" t="n">
        <x:v>6452</x:v>
      </x:c>
      <x:c r="M9" s="32" t="n">
        <x:v>45694</x:v>
      </x:c>
      <x:c r="N9" t="n">
        <x:v>0</x:v>
      </x:c>
      <x:c r="O9" t="n">
        <x:v>0</x:v>
      </x:c>
      <x:c r="P9" s="23" t="n">
        <x:v>0.01029</x:v>
      </x:c>
      <x:c r="Q9" s="33" t="n">
        <x:v>25.66</x:v>
      </x:c>
      <x:c r="R9" s="33" t="n">
        <x:v>33.149</x:v>
      </x:c>
      <x:c r="S9" s="23" t="n">
        <x:v>-0.504638</x:v>
      </x:c>
      <x:c r="T9" t="n">
        <x:v>72.67</x:v>
      </x:c>
      <x:c r="U9" t="str">
        <x:v>Priority A</x:v>
      </x:c>
      <x:c r="V9" t="n">
        <x:v>0.976143</x:v>
      </x:c>
      <x:c r="W9" t="n">
        <x:v>0.967668</x:v>
      </x:c>
      <x:c r="X9" t="n">
        <x:v>0.271613</x:v>
      </x:c>
      <x:c r="Y9" t="n">
        <x:v>1</x:v>
      </x:c>
      <x:c r="Z9" t="n">
        <x:v>0.392361</x:v>
      </x:c>
      <x:c r="AA9" t="n">
        <x:v>0.988929</x:v>
      </x:c>
      <x:c r="AB9" t="n">
        <x:v>0.792938</x:v>
      </x:c>
      <x:c r="AC9" t="n">
        <x:v>0.267631</x:v>
      </x:c>
    </x:row>
    <x:row r="10">
      <x:c r="A10" t="str">
        <x:v>C05</x:v>
      </x:c>
      <x:c r="B10" t="str">
        <x:v>Kagithane Axis</x:v>
      </x:c>
      <x:c r="C10" t="n">
        <x:v>6</x:v>
      </x:c>
      <x:c r="D10" s="31" t="n">
        <x:v>77.712</x:v>
      </x:c>
      <x:c r="E10" s="31" t="n">
        <x:v>183.456</x:v>
      </x:c>
      <x:c r="F10" s="31" t="n">
        <x:v>179.608</x:v>
      </x:c>
      <x:c r="G10" s="31" t="n">
        <x:v>185</x:v>
      </x:c>
      <x:c r="H10" s="32" t="n">
        <x:v>125206</x:v>
      </x:c>
      <x:c r="I10" s="32" t="n">
        <x:v>404027</x:v>
      </x:c>
      <x:c r="J10" s="32" t="n">
        <x:v>842125</x:v>
      </x:c>
      <x:c r="K10" s="32" t="n">
        <x:v>6452</x:v>
      </x:c>
      <x:c r="L10" s="32" t="n">
        <x:v>6452</x:v>
      </x:c>
      <x:c r="M10" s="32" t="n">
        <x:v>46029</x:v>
      </x:c>
      <x:c r="N10" t="n">
        <x:v>3</x:v>
      </x:c>
      <x:c r="O10" t="n">
        <x:v>26</x:v>
      </x:c>
      <x:c r="P10" s="23" t="n">
        <x:v>0.609962</x:v>
      </x:c>
      <x:c r="Q10" s="33" t="n">
        <x:v>21.967</x:v>
      </x:c>
      <x:c r="R10" s="33" t="n">
        <x:v>29.004</x:v>
      </x:c>
      <x:c r="S10" s="23" t="n">
        <x:v>0.175035</x:v>
      </x:c>
      <x:c r="T10" t="n">
        <x:v>30.64</x:v>
      </x:c>
      <x:c r="U10" t="str">
        <x:v>Priority B</x:v>
      </x:c>
      <x:c r="V10" t="n">
        <x:v>0.986036</x:v>
      </x:c>
      <x:c r="W10" t="n">
        <x:v>0.991836</x:v>
      </x:c>
      <x:c r="X10" t="n">
        <x:v>0.938679</x:v>
      </x:c>
      <x:c r="Y10" t="n">
        <x:v>0.05008</x:v>
      </x:c>
      <x:c r="Z10" t="n">
        <x:v>0.889324</x:v>
      </x:c>
      <x:c r="AA10" t="n">
        <x:v>0.343722</x:v>
      </x:c>
      <x:c r="AB10" t="n">
        <x:v>1</x:v>
      </x:c>
      <x:c r="AC10" t="n">
        <x:v>0.710913</x:v>
      </x:c>
    </x:row>
    <x:row r="11">
      <x:c r="A11" t="str">
        <x:v>C01</x:v>
      </x:c>
      <x:c r="B11" t="str">
        <x:v>Bahcelievler Metro</x:v>
      </x:c>
      <x:c r="C11" t="n">
        <x:v>7</x:v>
      </x:c>
      <x:c r="D11" s="31" t="n">
        <x:v>74.67</x:v>
      </x:c>
      <x:c r="E11" s="31" t="n">
        <x:v>183.858</x:v>
      </x:c>
      <x:c r="F11" s="31" t="n">
        <x:v>180.878</x:v>
      </x:c>
      <x:c r="G11" s="31" t="n">
        <x:v>185</x:v>
      </x:c>
      <x:c r="H11" s="32" t="n">
        <x:v>120198</x:v>
      </x:c>
      <x:c r="I11" s="32" t="n">
        <x:v>405561</x:v>
      </x:c>
      <x:c r="J11" s="32" t="n">
        <x:v>842518</x:v>
      </x:c>
      <x:c r="K11" s="32" t="n">
        <x:v>6640</x:v>
      </x:c>
      <x:c r="L11" s="32" t="n">
        <x:v>6640</x:v>
      </x:c>
      <x:c r="M11" s="32" t="n">
        <x:v>47008</x:v>
      </x:c>
      <x:c r="N11" t="n">
        <x:v>1</x:v>
      </x:c>
      <x:c r="O11" t="n">
        <x:v>22</x:v>
      </x:c>
      <x:c r="P11" s="23" t="n">
        <x:v>0.535299</x:v>
      </x:c>
      <x:c r="Q11" s="33" t="n">
        <x:v>24.053</x:v>
      </x:c>
      <x:c r="R11" s="33" t="n">
        <x:v>32.191</x:v>
      </x:c>
      <x:c r="S11" s="23" t="n">
        <x:v>-0.314015</x:v>
      </x:c>
      <x:c r="T11" t="n">
        <x:v>52.48</x:v>
      </x:c>
      <x:c r="U11" t="str">
        <x:v>Priority B</x:v>
      </x:c>
      <x:c r="V11" t="n">
        <x:v>0.989698</x:v>
      </x:c>
      <x:c r="W11" t="n">
        <x:v>0.996567</x:v>
      </x:c>
      <x:c r="X11" t="n">
        <x:v>0.952646</x:v>
      </x:c>
      <x:c r="Y11" t="n">
        <x:v>0.179846</x:v>
      </x:c>
      <x:c r="Z11" t="n">
        <x:v>0.55359</x:v>
      </x:c>
      <x:c r="AA11" t="n">
        <x:v>0.424054</x:v>
      </x:c>
      <x:c r="AB11" t="n">
        <x:v>0.851011</x:v>
      </x:c>
      <x:c r="AC11" t="n">
        <x:v>0.611574</x:v>
      </x:c>
    </x:row>
    <x:row r="12">
      <x:c r="A12" t="str">
        <x:v>C15</x:v>
      </x:c>
      <x:c r="B12" t="str">
        <x:v>Pendik Marina</x:v>
      </x:c>
      <x:c r="C12" t="n">
        <x:v>8</x:v>
      </x:c>
      <x:c r="D12" s="31" t="n">
        <x:v>74.183</x:v>
      </x:c>
      <x:c r="E12" s="31" t="n">
        <x:v>177.554</x:v>
      </x:c>
      <x:c r="F12" s="31" t="n">
        <x:v>171.079</x:v>
      </x:c>
      <x:c r="G12" s="31" t="n">
        <x:v>183.596</x:v>
      </x:c>
      <x:c r="H12" s="32" t="n">
        <x:v>79479</x:v>
      </x:c>
      <x:c r="I12" s="32" t="n">
        <x:v>345124</x:v>
      </x:c>
      <x:c r="J12" s="32" t="n">
        <x:v>794141</x:v>
      </x:c>
      <x:c r="K12" s="32" t="n">
        <x:v>6763</x:v>
      </x:c>
      <x:c r="L12" s="32" t="n">
        <x:v>6763</x:v>
      </x:c>
      <x:c r="M12" s="32" t="n">
        <x:v>46965</x:v>
      </x:c>
      <x:c r="N12" t="n">
        <x:v>1</x:v>
      </x:c>
      <x:c r="O12" t="n">
        <x:v>5</x:v>
      </x:c>
      <x:c r="P12" s="23" t="n">
        <x:v>0.023205</x:v>
      </x:c>
      <x:c r="Q12" s="33" t="n">
        <x:v>23.887</x:v>
      </x:c>
      <x:c r="R12" s="33" t="n">
        <x:v>30.799</x:v>
      </x:c>
      <x:c r="S12" s="23" t="n">
        <x:v>-0.296689</x:v>
      </x:c>
      <x:c r="T12" t="n">
        <x:v>51.19</x:v>
      </x:c>
      <x:c r="U12" t="str">
        <x:v>Priority B</x:v>
      </x:c>
      <x:c r="V12" t="n">
        <x:v>0.932274</x:v>
      </x:c>
      <x:c r="W12" t="n">
        <x:v>0.847184</x:v>
      </x:c>
      <x:c r="X12" t="n">
        <x:v>0.591993</x:v>
      </x:c>
      <x:c r="Y12" t="n">
        <x:v>0.279077</x:v>
      </x:c>
      <x:c r="Z12" t="n">
        <x:v>0.629263</x:v>
      </x:c>
      <x:c r="AA12" t="n">
        <x:v>0.975033</x:v>
      </x:c>
      <x:c r="AB12" t="n">
        <x:v>0.85629</x:v>
      </x:c>
      <x:c r="AC12" t="n">
        <x:v>0.404487</x:v>
      </x:c>
    </x:row>
    <x:row r="13">
      <x:c r="A13" t="str">
        <x:v>C04</x:v>
      </x:c>
      <x:c r="B13" t="str">
        <x:v>Esenyurt Square</x:v>
      </x:c>
      <x:c r="C13" t="n">
        <x:v>9</x:v>
      </x:c>
      <x:c r="D13" s="31" t="n">
        <x:v>74.17</x:v>
      </x:c>
      <x:c r="E13" s="31" t="n">
        <x:v>166.92</x:v>
      </x:c>
      <x:c r="F13" s="31" t="n">
        <x:v>161.367</x:v>
      </x:c>
      <x:c r="G13" s="31" t="n">
        <x:v>174.618</x:v>
      </x:c>
      <x:c r="H13" s="32" t="n">
        <x:v>106300</x:v>
      </x:c>
      <x:c r="I13" s="32" t="n">
        <x:v>338452</x:v>
      </x:c>
      <x:c r="J13" s="32" t="n">
        <x:v>782730</x:v>
      </x:c>
      <x:c r="K13" s="32" t="n">
        <x:v>6603</x:v>
      </x:c>
      <x:c r="L13" s="32" t="n">
        <x:v>6603</x:v>
      </x:c>
      <x:c r="M13" s="32" t="n">
        <x:v>46124</x:v>
      </x:c>
      <x:c r="N13" t="n">
        <x:v>10</x:v>
      </x:c>
      <x:c r="O13" t="n">
        <x:v>24</x:v>
      </x:c>
      <x:c r="P13" s="23" t="n">
        <x:v>0.00302</x:v>
      </x:c>
      <x:c r="Q13" s="33" t="n">
        <x:v>23.259</x:v>
      </x:c>
      <x:c r="R13" s="33" t="n">
        <x:v>29.604</x:v>
      </x:c>
      <x:c r="S13" s="23" t="n">
        <x:v>-0.404747</x:v>
      </x:c>
      <x:c r="T13" t="n">
        <x:v>60.48</x:v>
      </x:c>
      <x:c r="U13" t="str">
        <x:v>Priority B</x:v>
      </x:c>
      <x:c r="V13" t="n">
        <x:v>0.835409</x:v>
      </x:c>
      <x:c r="W13" t="n">
        <x:v>0.829889</x:v>
      </x:c>
      <x:c r="X13" t="n">
        <x:v>1</x:v>
      </x:c>
      <x:c r="Y13" t="n">
        <x:v>0.09316</x:v>
      </x:c>
      <x:c r="Z13" t="n">
        <x:v>0.739516</x:v>
      </x:c>
      <x:c r="AA13" t="n">
        <x:v>0.996751</x:v>
      </x:c>
      <x:c r="AB13" t="n">
        <x:v>0.82337</x:v>
      </x:c>
      <x:c r="AC13" t="n">
        <x:v>0.265224</x:v>
      </x:c>
    </x:row>
    <x:row r="14">
      <x:c r="A14" t="str">
        <x:v>C06</x:v>
      </x:c>
      <x:c r="B14" t="str">
        <x:v>Basaksehir Center</x:v>
      </x:c>
      <x:c r="C14" t="n">
        <x:v>10</x:v>
      </x:c>
      <x:c r="D14" s="31" t="n">
        <x:v>73.694</x:v>
      </x:c>
      <x:c r="E14" s="31" t="n">
        <x:v>183.362</x:v>
      </x:c>
      <x:c r="F14" s="31" t="n">
        <x:v>180.344</x:v>
      </x:c>
      <x:c r="G14" s="31" t="n">
        <x:v>185</x:v>
      </x:c>
      <x:c r="H14" s="32" t="n">
        <x:v>125334</x:v>
      </x:c>
      <x:c r="I14" s="32" t="n">
        <x:v>389561</x:v>
      </x:c>
      <x:c r="J14" s="32" t="n">
        <x:v>775952</x:v>
      </x:c>
      <x:c r="K14" s="32" t="n">
        <x:v>6549</x:v>
      </x:c>
      <x:c r="L14" s="32" t="n">
        <x:v>6549</x:v>
      </x:c>
      <x:c r="M14" s="32" t="n">
        <x:v>46559</x:v>
      </x:c>
      <x:c r="N14" t="n">
        <x:v>2</x:v>
      </x:c>
      <x:c r="O14" t="n">
        <x:v>23</x:v>
      </x:c>
      <x:c r="P14" s="23" t="n">
        <x:v>0.005417</x:v>
      </x:c>
      <x:c r="Q14" s="33" t="n">
        <x:v>28.231</x:v>
      </x:c>
      <x:c r="R14" s="33" t="n">
        <x:v>37.792</x:v>
      </x:c>
      <x:c r="S14" s="23" t="n">
        <x:v>-1.021572</x:v>
      </x:c>
      <x:c r="T14" t="str"/>
      <x:c r="U14" t="str">
        <x:v>Priority B</x:v>
      </x:c>
      <x:c r="V14" t="n">
        <x:v>0.98518</x:v>
      </x:c>
      <x:c r="W14" t="n">
        <x:v>0.956599</x:v>
      </x:c>
      <x:c r="X14" t="n">
        <x:v>0.974263</x:v>
      </x:c>
      <x:c r="Y14" t="n">
        <x:v>0.281475</x:v>
      </x:c>
      <x:c r="Z14" t="n">
        <x:v>0.062501</x:v>
      </x:c>
      <x:c r="AA14" t="n">
        <x:v>0.994172</x:v>
      </x:c>
      <x:c r="AB14" t="n">
        <x:v>0.635455</x:v>
      </x:c>
      <x:c r="AC14" t="n">
        <x:v>0.553856</x:v>
      </x:c>
    </x:row>
    <x:row r="15">
      <x:c r="A15" t="str">
        <x:v>C02</x:v>
      </x:c>
      <x:c r="B15" t="str">
        <x:v>Beylikduzu Marina</x:v>
      </x:c>
      <x:c r="C15" t="n">
        <x:v>11</x:v>
      </x:c>
      <x:c r="D15" s="31" t="n">
        <x:v>72.787</x:v>
      </x:c>
      <x:c r="E15" s="31" t="n">
        <x:v>169.162</x:v>
      </x:c>
      <x:c r="F15" s="31" t="n">
        <x:v>163.056</x:v>
      </x:c>
      <x:c r="G15" s="31" t="n">
        <x:v>175.928</x:v>
      </x:c>
      <x:c r="H15" s="32" t="n">
        <x:v>99483</x:v>
      </x:c>
      <x:c r="I15" s="32" t="n">
        <x:v>328230</x:v>
      </x:c>
      <x:c r="J15" s="32" t="n">
        <x:v>677296</x:v>
      </x:c>
      <x:c r="K15" s="32" t="n">
        <x:v>6617</x:v>
      </x:c>
      <x:c r="L15" s="32" t="n">
        <x:v>6617</x:v>
      </x:c>
      <x:c r="M15" s="32" t="n">
        <x:v>45137</x:v>
      </x:c>
      <x:c r="N15" t="n">
        <x:v>3</x:v>
      </x:c>
      <x:c r="O15" t="n">
        <x:v>9</x:v>
      </x:c>
      <x:c r="P15" s="23" t="n">
        <x:v>0.001689</x:v>
      </x:c>
      <x:c r="Q15" s="33" t="n">
        <x:v>23.812</x:v>
      </x:c>
      <x:c r="R15" s="33" t="n">
        <x:v>30.986</x:v>
      </x:c>
      <x:c r="S15" s="23" t="n">
        <x:v>-0.534856</x:v>
      </x:c>
      <x:c r="T15" t="n">
        <x:v>77.4</x:v>
      </x:c>
      <x:c r="U15" t="str">
        <x:v>Monitor</x:v>
      </x:c>
      <x:c r="V15" t="n">
        <x:v>0.855831</x:v>
      </x:c>
      <x:c r="W15" t="n">
        <x:v>0.803682</x:v>
      </x:c>
      <x:c r="X15" t="n">
        <x:v>0.747835</x:v>
      </x:c>
      <x:c r="Y15" t="n">
        <x:v>0.232922</x:v>
      </x:c>
      <x:c r="Z15" t="n">
        <x:v>0.626951</x:v>
      </x:c>
      <x:c r="AA15" t="n">
        <x:v>0.998183</x:v>
      </x:c>
      <x:c r="AB15" t="n">
        <x:v>0.783732</x:v>
      </x:c>
      <x:c r="AC15" t="n">
        <x:v>0.517763</x:v>
      </x:c>
    </x:row>
    <x:row r="16">
      <x:c r="A16" t="str">
        <x:v>C20</x:v>
      </x:c>
      <x:c r="B16" t="str">
        <x:v>Buyukcekmece Center</x:v>
      </x:c>
      <x:c r="C16" t="n">
        <x:v>12</x:v>
      </x:c>
      <x:c r="D16" s="31" t="n">
        <x:v>72.693</x:v>
      </x:c>
      <x:c r="E16" s="31" t="n">
        <x:v>162.885</x:v>
      </x:c>
      <x:c r="F16" s="31" t="n">
        <x:v>158.116</x:v>
      </x:c>
      <x:c r="G16" s="31" t="n">
        <x:v>167.39</x:v>
      </x:c>
      <x:c r="H16" s="32" t="n">
        <x:v>92408</x:v>
      </x:c>
      <x:c r="I16" s="32" t="n">
        <x:v>286548</x:v>
      </x:c>
      <x:c r="J16" s="32" t="n">
        <x:v>589564</x:v>
      </x:c>
      <x:c r="K16" s="32" t="n">
        <x:v>4716</x:v>
      </x:c>
      <x:c r="L16" s="32" t="n">
        <x:v>4716</x:v>
      </x:c>
      <x:c r="M16" s="32" t="n">
        <x:v>33518</x:v>
      </x:c>
      <x:c r="N16" t="n">
        <x:v>0</x:v>
      </x:c>
      <x:c r="O16" t="n">
        <x:v>1</x:v>
      </x:c>
      <x:c r="P16" s="23" t="n">
        <x:v>0.000437</x:v>
      </x:c>
      <x:c r="Q16" s="33" t="n">
        <x:v>24.559</x:v>
      </x:c>
      <x:c r="R16" s="33" t="n">
        <x:v>31.4</x:v>
      </x:c>
      <x:c r="S16" s="23" t="n">
        <x:v>-0.75679</x:v>
      </x:c>
      <x:c r="T16" t="n">
        <x:v>148.02</x:v>
      </x:c>
      <x:c r="U16" t="str">
        <x:v>Monitor</x:v>
      </x:c>
      <x:c r="V16" t="n">
        <x:v>0.798654</x:v>
      </x:c>
      <x:c r="W16" t="n">
        <x:v>0.689519</x:v>
      </x:c>
      <x:c r="X16" t="n">
        <x:v>0.358704</x:v>
      </x:c>
      <x:c r="Y16" t="n">
        <x:v>0.988406</x:v>
      </x:c>
      <x:c r="Z16" t="n">
        <x:v>0.547965</x:v>
      </x:c>
      <x:c r="AA16" t="n">
        <x:v>0.99953</x:v>
      </x:c>
      <x:c r="AB16" t="n">
        <x:v>0.716121</x:v>
      </x:c>
      <x:c r="AC16" t="n">
        <x:v>0.478148</x:v>
      </x:c>
    </x:row>
    <x:row r="17">
      <x:c r="A17" t="str">
        <x:v>C09</x:v>
      </x:c>
      <x:c r="B17" t="str">
        <x:v>Zeytinburnu Transit</x:v>
      </x:c>
      <x:c r="C17" t="n">
        <x:v>13</x:v>
      </x:c>
      <x:c r="D17" s="31" t="n">
        <x:v>72.524</x:v>
      </x:c>
      <x:c r="E17" s="31" t="n">
        <x:v>184.896</x:v>
      </x:c>
      <x:c r="F17" s="31" t="n">
        <x:v>184.991</x:v>
      </x:c>
      <x:c r="G17" s="31" t="n">
        <x:v>185</x:v>
      </x:c>
      <x:c r="H17" s="32" t="n">
        <x:v>124505</x:v>
      </x:c>
      <x:c r="I17" s="32" t="n">
        <x:v>404165</x:v>
      </x:c>
      <x:c r="J17" s="32" t="n">
        <x:v>842219</x:v>
      </x:c>
      <x:c r="K17" s="32" t="n">
        <x:v>6452</x:v>
      </x:c>
      <x:c r="L17" s="32" t="n">
        <x:v>6452</x:v>
      </x:c>
      <x:c r="M17" s="32" t="n">
        <x:v>45785</x:v>
      </x:c>
      <x:c r="N17" t="n">
        <x:v>1</x:v>
      </x:c>
      <x:c r="O17" t="n">
        <x:v>12</x:v>
      </x:c>
      <x:c r="P17" s="23" t="n">
        <x:v>0.454724</x:v>
      </x:c>
      <x:c r="Q17" s="33" t="n">
        <x:v>24.695</x:v>
      </x:c>
      <x:c r="R17" s="33" t="n">
        <x:v>33.083</x:v>
      </x:c>
      <x:c r="S17" s="23" t="n">
        <x:v>-0.414335</x:v>
      </x:c>
      <x:c r="T17" t="n">
        <x:v>61.47</x:v>
      </x:c>
      <x:c r="U17" t="str">
        <x:v>Monitor</x:v>
      </x:c>
      <x:c r="V17" t="n">
        <x:v>0.999153</x:v>
      </x:c>
      <x:c r="W17" t="n">
        <x:v>0.991942</x:v>
      </x:c>
      <x:c r="X17" t="n">
        <x:v>0.781028</x:v>
      </x:c>
      <x:c r="Y17" t="n">
        <x:v>0.102681</x:v>
      </x:c>
      <x:c r="Z17" t="n">
        <x:v>0.466017</x:v>
      </x:c>
      <x:c r="AA17" t="n">
        <x:v>0.510747</x:v>
      </x:c>
      <x:c r="AB17" t="n">
        <x:v>0.820449</x:v>
      </x:c>
      <x:c r="AC17" t="n">
        <x:v>0.779269</x:v>
      </x:c>
    </x:row>
    <x:row r="18">
      <x:c r="A18" t="str">
        <x:v>C10</x:v>
      </x:c>
      <x:c r="B18" t="str">
        <x:v>Bayrampasa Forum</x:v>
      </x:c>
      <x:c r="C18" t="n">
        <x:v>14</x:v>
      </x:c>
      <x:c r="D18" s="31" t="n">
        <x:v>72.326</x:v>
      </x:c>
      <x:c r="E18" s="31" t="n">
        <x:v>184.989</x:v>
      </x:c>
      <x:c r="F18" s="31" t="n">
        <x:v>184.949</x:v>
      </x:c>
      <x:c r="G18" s="31" t="n">
        <x:v>185</x:v>
      </x:c>
      <x:c r="H18" s="32" t="n">
        <x:v>127549</x:v>
      </x:c>
      <x:c r="I18" s="32" t="n">
        <x:v>406706</x:v>
      </x:c>
      <x:c r="J18" s="32" t="n">
        <x:v>842646</x:v>
      </x:c>
      <x:c r="K18" s="32" t="n">
        <x:v>6452</x:v>
      </x:c>
      <x:c r="L18" s="32" t="n">
        <x:v>6452</x:v>
      </x:c>
      <x:c r="M18" s="32" t="n">
        <x:v>47636</x:v>
      </x:c>
      <x:c r="N18" t="n">
        <x:v>0</x:v>
      </x:c>
      <x:c r="O18" t="n">
        <x:v>0</x:v>
      </x:c>
      <x:c r="P18" s="23" t="n">
        <x:v>0.086946</x:v>
      </x:c>
      <x:c r="Q18" s="33" t="n">
        <x:v>24.456</x:v>
      </x:c>
      <x:c r="R18" s="33" t="n">
        <x:v>32.574</x:v>
      </x:c>
      <x:c r="S18" s="23" t="n">
        <x:v>-0.343842</x:v>
      </x:c>
      <x:c r="T18" t="n">
        <x:v>54.86</x:v>
      </x:c>
      <x:c r="U18" t="str">
        <x:v>Monitor</x:v>
      </x:c>
      <x:c r="V18" t="n">
        <x:v>1</x:v>
      </x:c>
      <x:c r="W18" t="n">
        <x:v>1</x:v>
      </x:c>
      <x:c r="X18" t="n">
        <x:v>0.238495</x:v>
      </x:c>
      <x:c r="Y18" t="n">
        <x:v>0.396196</x:v>
      </x:c>
      <x:c r="Z18" t="n">
        <x:v>0.505561</x:v>
      </x:c>
      <x:c r="AA18" t="n">
        <x:v>0.906452</x:v>
      </x:c>
      <x:c r="AB18" t="n">
        <x:v>0.841925</x:v>
      </x:c>
      <x:c r="AC18" t="n">
        <x:v>0.195256</x:v>
      </x:c>
    </x:row>
    <x:row r="19">
      <x:c r="A19" t="str">
        <x:v>C16</x:v>
      </x:c>
      <x:c r="B19" t="str">
        <x:v>Cekmekoy Center</x:v>
      </x:c>
      <x:c r="C19" t="n">
        <x:v>15</x:v>
      </x:c>
      <x:c r="D19" s="31" t="n">
        <x:v>68.818</x:v>
      </x:c>
      <x:c r="E19" s="31" t="n">
        <x:v>184.949</x:v>
      </x:c>
      <x:c r="F19" s="31" t="n">
        <x:v>184.951</x:v>
      </x:c>
      <x:c r="G19" s="31" t="n">
        <x:v>185</x:v>
      </x:c>
      <x:c r="H19" s="32" t="n">
        <x:v>119402</x:v>
      </x:c>
      <x:c r="I19" s="32" t="n">
        <x:v>404863</x:v>
      </x:c>
      <x:c r="J19" s="32" t="n">
        <x:v>823938</x:v>
      </x:c>
      <x:c r="K19" s="32" t="n">
        <x:v>6554</x:v>
      </x:c>
      <x:c r="L19" s="32" t="n">
        <x:v>6554</x:v>
      </x:c>
      <x:c r="M19" s="32" t="n">
        <x:v>46814</x:v>
      </x:c>
      <x:c r="N19" t="n">
        <x:v>0</x:v>
      </x:c>
      <x:c r="O19" t="n">
        <x:v>4</x:v>
      </x:c>
      <x:c r="P19" s="23" t="n">
        <x:v>0.312443</x:v>
      </x:c>
      <x:c r="Q19" s="33" t="n">
        <x:v>27.071</x:v>
      </x:c>
      <x:c r="R19" s="33" t="n">
        <x:v>36.9</x:v>
      </x:c>
      <x:c r="S19" s="23" t="n">
        <x:v>-0.887518</x:v>
      </x:c>
      <x:c r="T19" t="n">
        <x:v>320.05</x:v>
      </x:c>
      <x:c r="U19" t="str">
        <x:v>Monitor</x:v>
      </x:c>
      <x:c r="V19" t="n">
        <x:v>0.999636</x:v>
      </x:c>
      <x:c r="W19" t="n">
        <x:v>0.994656</x:v>
      </x:c>
      <x:c r="X19" t="n">
        <x:v>0.557333</x:v>
      </x:c>
      <x:c r="Y19" t="n">
        <x:v>0.371209</x:v>
      </x:c>
      <x:c r="Z19" t="n">
        <x:v>0.160953</x:v>
      </x:c>
      <x:c r="AA19" t="n">
        <x:v>0.663832</x:v>
      </x:c>
      <x:c r="AB19" t="n">
        <x:v>0.676294</x:v>
      </x:c>
      <x:c r="AC19" t="n">
        <x:v>0.523506</x:v>
      </x:c>
    </x:row>
    <x:row r="20">
      <x:c r="A20" t="str">
        <x:v>C14</x:v>
      </x:c>
      <x:c r="B20" t="str">
        <x:v>Kartal Junction</x:v>
      </x:c>
      <x:c r="C20" t="n">
        <x:v>16</x:v>
      </x:c>
      <x:c r="D20" s="31" t="n">
        <x:v>67.701</x:v>
      </x:c>
      <x:c r="E20" s="31" t="n">
        <x:v>183.238</x:v>
      </x:c>
      <x:c r="F20" s="31" t="n">
        <x:v>179.987</x:v>
      </x:c>
      <x:c r="G20" s="31" t="n">
        <x:v>185</x:v>
      </x:c>
      <x:c r="H20" s="32" t="n">
        <x:v>106788</x:v>
      </x:c>
      <x:c r="I20" s="32" t="n">
        <x:v>379342</x:v>
      </x:c>
      <x:c r="J20" s="32" t="n">
        <x:v>808991</x:v>
      </x:c>
      <x:c r="K20" s="32" t="n">
        <x:v>6958</x:v>
      </x:c>
      <x:c r="L20" s="32" t="n">
        <x:v>6958</x:v>
      </x:c>
      <x:c r="M20" s="32" t="n">
        <x:v>47447</x:v>
      </x:c>
      <x:c r="N20" t="n">
        <x:v>5</x:v>
      </x:c>
      <x:c r="O20" t="n">
        <x:v>17</x:v>
      </x:c>
      <x:c r="P20" s="23" t="n">
        <x:v>0.220433</x:v>
      </x:c>
      <x:c r="Q20" s="33" t="n">
        <x:v>27.287</x:v>
      </x:c>
      <x:c r="R20" s="33" t="n">
        <x:v>36.65</x:v>
      </x:c>
      <x:c r="S20" s="23" t="n">
        <x:v>-0.899513</x:v>
      </x:c>
      <x:c r="T20" t="n">
        <x:v>358.25</x:v>
      </x:c>
      <x:c r="U20" t="str">
        <x:v>Monitor</x:v>
      </x:c>
      <x:c r="V20" t="n">
        <x:v>0.98405</x:v>
      </x:c>
      <x:c r="W20" t="n">
        <x:v>0.932201</x:v>
      </x:c>
      <x:c r="X20" t="n">
        <x:v>0.860375</x:v>
      </x:c>
      <x:c r="Y20" t="n">
        <x:v>0.069208</x:v>
      </x:c>
      <x:c r="Z20" t="n">
        <x:v>0.156116</x:v>
      </x:c>
      <x:c r="AA20" t="n">
        <x:v>0.762829</x:v>
      </x:c>
      <x:c r="AB20" t="n">
        <x:v>0.67264</x:v>
      </x:c>
      <x:c r="AC20" t="n">
        <x:v>0.418738</x:v>
      </x:c>
    </x:row>
    <x:row r="21">
      <x:c r="A21" t="str">
        <x:v>C13</x:v>
      </x:c>
      <x:c r="B21" t="str">
        <x:v>Maltepe Coastal</x:v>
      </x:c>
      <x:c r="C21" t="n">
        <x:v>17</x:v>
      </x:c>
      <x:c r="D21" s="31" t="n">
        <x:v>66.916</x:v>
      </x:c>
      <x:c r="E21" s="31" t="n">
        <x:v>175.512</x:v>
      </x:c>
      <x:c r="F21" s="31" t="n">
        <x:v>168.558</x:v>
      </x:c>
      <x:c r="G21" s="31" t="n">
        <x:v>182.669</x:v>
      </x:c>
      <x:c r="H21" s="32" t="n">
        <x:v>112913</x:v>
      </x:c>
      <x:c r="I21" s="32" t="n">
        <x:v>339585</x:v>
      </x:c>
      <x:c r="J21" s="32" t="n">
        <x:v>638008</x:v>
      </x:c>
      <x:c r="K21" s="32" t="n">
        <x:v>6770</x:v>
      </x:c>
      <x:c r="L21" s="32" t="n">
        <x:v>6770</x:v>
      </x:c>
      <x:c r="M21" s="32" t="n">
        <x:v>46038</x:v>
      </x:c>
      <x:c r="N21" t="n">
        <x:v>2</x:v>
      </x:c>
      <x:c r="O21" t="n">
        <x:v>12</x:v>
      </x:c>
      <x:c r="P21" s="23" t="n">
        <x:v>0.678861</x:v>
      </x:c>
      <x:c r="Q21" s="33" t="n">
        <x:v>23.394</x:v>
      </x:c>
      <x:c r="R21" s="33" t="n">
        <x:v>30.973</x:v>
      </x:c>
      <x:c r="S21" s="23" t="n">
        <x:v>-0.357912</x:v>
      </x:c>
      <x:c r="T21" t="n">
        <x:v>56.07</x:v>
      </x:c>
      <x:c r="U21" t="str">
        <x:v>Monitor</x:v>
      </x:c>
      <x:c r="V21" t="n">
        <x:v>0.913674</x:v>
      </x:c>
      <x:c r="W21" t="n">
        <x:v>0.832606</x:v>
      </x:c>
      <x:c r="X21" t="n">
        <x:v>0.727619</x:v>
      </x:c>
      <x:c r="Y21" t="n">
        <x:v>0.057525</x:v>
      </x:c>
      <x:c r="Z21" t="n">
        <x:v>0.662596</x:v>
      </x:c>
      <x:c r="AA21" t="n">
        <x:v>0.269591</x:v>
      </x:c>
      <x:c r="AB21" t="n">
        <x:v>0.837638</x:v>
      </x:c>
      <x:c r="AC21" t="n">
        <x:v>0.84757</x:v>
      </x:c>
    </x:row>
    <x:row r="22">
      <x:c r="A22" t="str">
        <x:v>C23</x:v>
      </x:c>
      <x:c r="B22" t="str">
        <x:v>Gokturk Center</x:v>
      </x:c>
      <x:c r="C22" t="n">
        <x:v>18</x:v>
      </x:c>
      <x:c r="D22" s="31" t="n">
        <x:v>57.022</x:v>
      </x:c>
      <x:c r="E22" s="31" t="n">
        <x:v>147.353</x:v>
      </x:c>
      <x:c r="F22" s="31" t="n">
        <x:v>136.087</x:v>
      </x:c>
      <x:c r="G22" s="31" t="n">
        <x:v>156.912</x:v>
      </x:c>
      <x:c r="H22" s="32" t="n">
        <x:v>69187</x:v>
      </x:c>
      <x:c r="I22" s="32" t="n">
        <x:v>243139</x:v>
      </x:c>
      <x:c r="J22" s="32" t="n">
        <x:v>523980</x:v>
      </x:c>
      <x:c r="K22" s="32" t="n">
        <x:v>3322</x:v>
      </x:c>
      <x:c r="L22" s="32" t="n">
        <x:v>3322</x:v>
      </x:c>
      <x:c r="M22" s="32" t="n">
        <x:v>24964</x:v>
      </x:c>
      <x:c r="N22" t="n">
        <x:v>0</x:v>
      </x:c>
      <x:c r="O22" t="n">
        <x:v>0</x:v>
      </x:c>
      <x:c r="P22" s="23" t="n">
        <x:v>0.005367</x:v>
      </x:c>
      <x:c r="Q22" s="33" t="n">
        <x:v>24.435</x:v>
      </x:c>
      <x:c r="R22" s="33" t="n">
        <x:v>32.199</x:v>
      </x:c>
      <x:c r="S22" s="23" t="n">
        <x:v>-1.244567</x:v>
      </x:c>
      <x:c r="T22" t="str"/>
      <x:c r="U22" t="str">
        <x:v>Monitor</x:v>
      </x:c>
      <x:c r="V22" t="n">
        <x:v>0.657172</x:v>
      </x:c>
      <x:c r="W22" t="n">
        <x:v>0.574034</x:v>
      </x:c>
      <x:c r="X22" t="n">
        <x:v>0.219904</x:v>
      </x:c>
      <x:c r="Y22" t="n">
        <x:v>0.610964</x:v>
      </x:c>
      <x:c r="Z22" t="n">
        <x:v>0.523185</x:v>
      </x:c>
      <x:c r="AA22" t="n">
        <x:v>0.994225</x:v>
      </x:c>
      <x:c r="AB22" t="n">
        <x:v>0.56752</x:v>
      </x:c>
      <x:c r="AC22" t="n">
        <x:v>0</x:v>
      </x:c>
    </x:row>
    <x:row r="23">
      <x:c r="A23" t="str">
        <x:v>C11</x:v>
      </x:c>
      <x:c r="B23" t="str">
        <x:v>Atasehir Finance</x:v>
      </x:c>
      <x:c r="C23" t="n">
        <x:v>19</x:v>
      </x:c>
      <x:c r="D23" s="31" t="n">
        <x:v>55.255</x:v>
      </x:c>
      <x:c r="E23" s="31" t="n">
        <x:v>158.43</x:v>
      </x:c>
      <x:c r="F23" s="31" t="n">
        <x:v>148.337</x:v>
      </x:c>
      <x:c r="G23" s="31" t="n">
        <x:v>168.564</x:v>
      </x:c>
      <x:c r="H23" s="32" t="n">
        <x:v>106103</x:v>
      </x:c>
      <x:c r="I23" s="32" t="n">
        <x:v>298331</x:v>
      </x:c>
      <x:c r="J23" s="32" t="n">
        <x:v>562905</x:v>
      </x:c>
      <x:c r="K23" s="32" t="n">
        <x:v>6452</x:v>
      </x:c>
      <x:c r="L23" s="32" t="n">
        <x:v>6452</x:v>
      </x:c>
      <x:c r="M23" s="32" t="n">
        <x:v>46123</x:v>
      </x:c>
      <x:c r="N23" t="n">
        <x:v>6</x:v>
      </x:c>
      <x:c r="O23" t="n">
        <x:v>28</x:v>
      </x:c>
      <x:c r="P23" s="23" t="n">
        <x:v>0.929426</x:v>
      </x:c>
      <x:c r="Q23" s="33" t="n">
        <x:v>24.266</x:v>
      </x:c>
      <x:c r="R23" s="33" t="n">
        <x:v>32.278</x:v>
      </x:c>
      <x:c r="S23" s="23" t="n">
        <x:v>-0.975274</x:v>
      </x:c>
      <x:c r="T23" t="n">
        <x:v>1455.96</x:v>
      </x:c>
      <x:c r="U23" t="str">
        <x:v>Monitor</x:v>
      </x:c>
      <x:c r="V23" t="n">
        <x:v>0.758073</x:v>
      </x:c>
      <x:c r="W23" t="n">
        <x:v>0.730748</x:v>
      </x:c>
      <x:c r="X23" t="n">
        <x:v>0.878456</x:v>
      </x:c>
      <x:c r="Y23" t="n">
        <x:v>0</x:v>
      </x:c>
      <x:c r="Z23" t="n">
        <x:v>0.533003</x:v>
      </x:c>
      <x:c r="AA23" t="n">
        <x:v>0</x:v>
      </x:c>
      <x:c r="AB23" t="n">
        <x:v>0.64956</x:v>
      </x:c>
      <x:c r="AC23" t="n">
        <x:v>0.684118</x:v>
      </x:c>
    </x:row>
    <x:row r="24">
      <x:c r="A24" t="str">
        <x:v>C19</x:v>
      </x:c>
      <x:c r="B24" t="str">
        <x:v>Tuzla Technology</x:v>
      </x:c>
      <x:c r="C24" t="n">
        <x:v>20</x:v>
      </x:c>
      <x:c r="D24" s="31" t="n">
        <x:v>54.895</x:v>
      </x:c>
      <x:c r="E24" s="31" t="n">
        <x:v>127.413</x:v>
      </x:c>
      <x:c r="F24" s="31" t="n">
        <x:v>122.907</x:v>
      </x:c>
      <x:c r="G24" s="31" t="n">
        <x:v>131.448</x:v>
      </x:c>
      <x:c r="H24" s="32" t="n">
        <x:v>53340</x:v>
      </x:c>
      <x:c r="I24" s="32" t="n">
        <x:v>176514</x:v>
      </x:c>
      <x:c r="J24" s="32" t="n">
        <x:v>389754</x:v>
      </x:c>
      <x:c r="K24" s="32" t="n">
        <x:v>2570</x:v>
      </x:c>
      <x:c r="L24" s="32" t="n">
        <x:v>2570</x:v>
      </x:c>
      <x:c r="M24" s="32" t="n">
        <x:v>19718</x:v>
      </x:c>
      <x:c r="N24" t="n">
        <x:v>0</x:v>
      </x:c>
      <x:c r="O24" t="n">
        <x:v>0</x:v>
      </x:c>
      <x:c r="P24" s="23" t="n">
        <x:v>0.002294</x:v>
      </x:c>
      <x:c r="Q24" s="33" t="n">
        <x:v>21.961</x:v>
      </x:c>
      <x:c r="R24" s="33" t="n">
        <x:v>26.987</x:v>
      </x:c>
      <x:c r="S24" s="23" t="n">
        <x:v>-1.118437</x:v>
      </x:c>
      <x:c r="T24" t="str"/>
      <x:c r="U24" t="str">
        <x:v>Monitor</x:v>
      </x:c>
      <x:c r="V24" t="n">
        <x:v>0.475538</x:v>
      </x:c>
      <x:c r="W24" t="n">
        <x:v>0.404361</x:v>
      </x:c>
      <x:c r="X24" t="n">
        <x:v>0.106357</x:v>
      </x:c>
      <x:c r="Y24" t="n">
        <x:v>0.472233</x:v>
      </x:c>
      <x:c r="Z24" t="n">
        <x:v>1</x:v>
      </x:c>
      <x:c r="AA24" t="n">
        <x:v>0.997532</x:v>
      </x:c>
      <x:c r="AB24" t="n">
        <x:v>0.605945</x:v>
      </x:c>
      <x:c r="AC24" t="n">
        <x:v>0.441011</x:v>
      </x:c>
    </x:row>
    <x:row r="25">
      <x:c r="A25" t="str">
        <x:v>C08</x:v>
      </x:c>
      <x:c r="B25" t="str">
        <x:v>Sariyer Corridor</x:v>
      </x:c>
      <x:c r="C25" t="n">
        <x:v>21</x:v>
      </x:c>
      <x:c r="D25" s="31" t="n">
        <x:v>51.904</x:v>
      </x:c>
      <x:c r="E25" s="31" t="n">
        <x:v>158.843</x:v>
      </x:c>
      <x:c r="F25" s="31" t="n">
        <x:v>152.454</x:v>
      </x:c>
      <x:c r="G25" s="31" t="n">
        <x:v>166.299</x:v>
      </x:c>
      <x:c r="H25" s="32" t="n">
        <x:v>105530</x:v>
      </x:c>
      <x:c r="I25" s="32" t="n">
        <x:v>271395</x:v>
      </x:c>
      <x:c r="J25" s="32" t="n">
        <x:v>490996</x:v>
      </x:c>
      <x:c r="K25" s="32" t="n">
        <x:v>5752</x:v>
      </x:c>
      <x:c r="L25" s="32" t="n">
        <x:v>5752</x:v>
      </x:c>
      <x:c r="M25" s="32" t="n">
        <x:v>40942</x:v>
      </x:c>
      <x:c r="N25" t="n">
        <x:v>0</x:v>
      </x:c>
      <x:c r="O25" t="n">
        <x:v>0</x:v>
      </x:c>
      <x:c r="P25" s="23" t="n">
        <x:v>0.019472</x:v>
      </x:c>
      <x:c r="Q25" s="33" t="n">
        <x:v>28.549</x:v>
      </x:c>
      <x:c r="R25" s="33" t="n">
        <x:v>39.23</x:v>
      </x:c>
      <x:c r="S25" s="23" t="n">
        <x:v>-1.700585</x:v>
      </x:c>
      <x:c r="T25" t="str"/>
      <x:c r="U25" t="str">
        <x:v>Monitor</x:v>
      </x:c>
      <x:c r="V25" t="n">
        <x:v>0.761835</x:v>
      </x:c>
      <x:c r="W25" t="n">
        <x:v>0.65921</x:v>
      </x:c>
      <x:c r="X25" t="n">
        <x:v>0.206799</x:v>
      </x:c>
      <x:c r="Y25" t="n">
        <x:v>0.25166</x:v>
      </x:c>
      <x:c r="Z25" t="n">
        <x:v>0</x:v>
      </x:c>
      <x:c r="AA25" t="n">
        <x:v>0.979049</x:v>
      </x:c>
      <x:c r="AB25" t="n">
        <x:v>0.428594</x:v>
      </x:c>
      <x:c r="AC25" t="n">
        <x:v>0.571444</x:v>
      </x:c>
    </x:row>
    <x:row r="26">
      <x:c r="A26" t="str">
        <x:v>C21</x:v>
      </x:c>
      <x:c r="B26" t="str">
        <x:v>Arnavutkoy Center</x:v>
      </x:c>
      <x:c r="C26" t="n">
        <x:v>22</x:v>
      </x:c>
      <x:c r="D26" s="31" t="n">
        <x:v>49.786</x:v>
      </x:c>
      <x:c r="E26" s="31" t="n">
        <x:v>104.834</x:v>
      </x:c>
      <x:c r="F26" s="31" t="n">
        <x:v>100.076</x:v>
      </x:c>
      <x:c r="G26" s="31" t="n">
        <x:v>109.878</x:v>
      </x:c>
      <x:c r="H26" s="32" t="n">
        <x:v>20904</x:v>
      </x:c>
      <x:c r="I26" s="32" t="n">
        <x:v>112734</x:v>
      </x:c>
      <x:c r="J26" s="32" t="n">
        <x:v>243691</x:v>
      </x:c>
      <x:c r="K26" s="32" t="n">
        <x:v>1423</x:v>
      </x:c>
      <x:c r="L26" s="32" t="n">
        <x:v>1423</x:v>
      </x:c>
      <x:c r="M26" s="32" t="n">
        <x:v>8191</x:v>
      </x:c>
      <x:c r="N26" t="n">
        <x:v>0</x:v>
      </x:c>
      <x:c r="O26" t="n">
        <x:v>0</x:v>
      </x:c>
      <x:c r="P26" s="23" t="n">
        <x:v>0.000377</x:v>
      </x:c>
      <x:c r="Q26" s="33" t="n">
        <x:v>21.813</x:v>
      </x:c>
      <x:c r="R26" s="33" t="n">
        <x:v>28.266</x:v>
      </x:c>
      <x:c r="S26" s="23" t="n">
        <x:v>-1.931784</x:v>
      </x:c>
      <x:c r="T26" t="str"/>
      <x:c r="U26" t="str">
        <x:v>Monitor</x:v>
      </x:c>
      <x:c r="V26" t="n">
        <x:v>0.269865</x:v>
      </x:c>
      <x:c r="W26" t="n">
        <x:v>0.235682</x:v>
      </x:c>
      <x:c r="X26" t="n">
        <x:v>0.192677</x:v>
      </x:c>
      <x:c r="Y26" t="n">
        <x:v>0.789697</x:v>
      </x:c>
      <x:c r="Z26" t="n">
        <x:v>0.944057</x:v>
      </x:c>
      <x:c r="AA26" t="n">
        <x:v>0.999594</x:v>
      </x:c>
      <x:c r="AB26" t="n">
        <x:v>0.35816</x:v>
      </x:c>
      <x:c r="AC26" t="n">
        <x:v>0.67108</x:v>
      </x:c>
    </x:row>
    <x:row r="27">
      <x:c r="A27" t="str">
        <x:v>C12</x:v>
      </x:c>
      <x:c r="B27" t="str">
        <x:v>Umraniye Center</x:v>
      </x:c>
      <x:c r="C27" t="n">
        <x:v>23</x:v>
      </x:c>
      <x:c r="D27" s="31" t="n">
        <x:v>41.205</x:v>
      </x:c>
      <x:c r="E27" s="31" t="n">
        <x:v>135.997</x:v>
      </x:c>
      <x:c r="F27" s="31" t="n">
        <x:v>130.111</x:v>
      </x:c>
      <x:c r="G27" s="31" t="n">
        <x:v>142.467</x:v>
      </x:c>
      <x:c r="H27" s="32" t="n">
        <x:v>67094</x:v>
      </x:c>
      <x:c r="I27" s="32" t="n">
        <x:v>205309</x:v>
      </x:c>
      <x:c r="J27" s="32" t="n">
        <x:v>423869</x:v>
      </x:c>
      <x:c r="K27" s="32" t="n">
        <x:v>6452</x:v>
      </x:c>
      <x:c r="L27" s="32" t="n">
        <x:v>6452</x:v>
      </x:c>
      <x:c r="M27" s="32" t="n">
        <x:v>26264</x:v>
      </x:c>
      <x:c r="N27" t="n">
        <x:v>4</x:v>
      </x:c>
      <x:c r="O27" t="n">
        <x:v>28</x:v>
      </x:c>
      <x:c r="P27" s="23" t="n">
        <x:v>0.8502</x:v>
      </x:c>
      <x:c r="Q27" s="33" t="n">
        <x:v>25.377</x:v>
      </x:c>
      <x:c r="R27" s="33" t="n">
        <x:v>33.889</x:v>
      </x:c>
      <x:c r="S27" s="23" t="n">
        <x:v>-1.710486</x:v>
      </x:c>
      <x:c r="T27" t="str"/>
      <x:c r="U27" t="str">
        <x:v>Monitor</x:v>
      </x:c>
      <x:c r="V27" t="n">
        <x:v>0.55373</x:v>
      </x:c>
      <x:c r="W27" t="n">
        <x:v>0.481805</x:v>
      </x:c>
      <x:c r="X27" t="n">
        <x:v>0.897666</x:v>
      </x:c>
      <x:c r="Y27" t="n">
        <x:v>0.013246</x:v>
      </x:c>
      <x:c r="Z27" t="n">
        <x:v>0.383473</x:v>
      </x:c>
      <x:c r="AA27" t="n">
        <x:v>0.085242</x:v>
      </x:c>
      <x:c r="AB27" t="n">
        <x:v>0.425578</x:v>
      </x:c>
      <x:c r="AC27" t="n">
        <x:v>0.180781</x:v>
      </x:c>
    </x:row>
    <x:row r="28">
      <x:c r="A28" t="str">
        <x:v>C22</x:v>
      </x:c>
      <x:c r="B28" t="str">
        <x:v>Silivri Gateway</x:v>
      </x:c>
      <x:c r="C28" t="n">
        <x:v>24</x:v>
      </x:c>
      <x:c r="D28" s="31" t="n">
        <x:v>18.75</x:v>
      </x:c>
      <x:c r="E28" s="31" t="n">
        <x:v>75.208</x:v>
      </x:c>
      <x:c r="F28" s="31" t="n">
        <x:v>72.565</x:v>
      </x:c>
      <x:c r="G28" s="31" t="n">
        <x:v>78.2</x:v>
      </x:c>
      <x:c r="H28" s="32" t="n">
        <x:v>3778</x:v>
      </x:c>
      <x:c r="I28" s="32" t="n">
        <x:v>19866</x:v>
      </x:c>
      <x:c r="J28" s="32" t="n">
        <x:v>42602</x:v>
      </x:c>
      <x:c r="K28" s="32" t="n">
        <x:v>85</x:v>
      </x:c>
      <x:c r="L28" s="32" t="n">
        <x:v>85</x:v>
      </x:c>
      <x:c r="M28" s="32" t="n">
        <x:v>1737</x:v>
      </x:c>
      <x:c r="N28" t="n">
        <x:v>0</x:v>
      </x:c>
      <x:c r="O28" t="n">
        <x:v>0</x:v>
      </x:c>
      <x:c r="P28" s="23" t="n">
        <x:v>0</x:v>
      </x:c>
      <x:c r="Q28" s="33" t="n">
        <x:v>25.188</x:v>
      </x:c>
      <x:c r="R28" s="33" t="n">
        <x:v>33.112</x:v>
      </x:c>
      <x:c r="S28" s="23" t="n">
        <x:v>-3.107432</x:v>
      </x:c>
      <x:c r="T28" t="str"/>
      <x:c r="U28" t="str">
        <x:v>Monitor</x:v>
      </x:c>
      <x:c r="V28" t="n">
        <x:v>0</x:v>
      </x:c>
      <x:c r="W28" t="n">
        <x:v>0</x:v>
      </x:c>
      <x:c r="X28" t="n">
        <x:v>0</x:v>
      </x:c>
      <x:c r="Y28" t="n">
        <x:v>0.057661</x:v>
      </x:c>
      <x:c r="Z28" t="n">
        <x:v>0.428154</x:v>
      </x:c>
      <x:c r="AA28" t="n">
        <x:v>1</x:v>
      </x:c>
      <x:c r="AB28" t="n">
        <x:v>0</x:v>
      </x:c>
      <x:c r="AC28" t="n">
        <x:v>0.555216</x:v>
      </x:c>
    </x:row>
  </x:sheetData>
  <x:mergeCells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650b0e8e92bf43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6" hidden="0" customWidth="1"/>
  </x:cols>
  <x:sheetData>
    <x:row r="1" ht="34" customHeight="1">
      <x:c r="A1" s="3" t="str">
        <x:v>Scenario Source</x:v>
      </x:c>
      <x:c r="B1" s="3" t="str">
        <x:v>Scenario Source</x:v>
      </x:c>
      <x:c r="C1" s="3" t="str">
        <x:v>Scenario Source</x:v>
      </x:c>
      <x:c r="D1" s="3" t="str">
        <x:v>Scenario Source</x:v>
      </x:c>
      <x:c r="E1" s="3" t="str">
        <x:v>Scenario Source</x:v>
      </x:c>
      <x:c r="F1" s="3" t="str">
        <x:v>Scenario Source</x:v>
      </x:c>
      <x:c r="G1" s="3" t="str">
        <x:v>Scenario Source</x:v>
      </x:c>
      <x:c r="H1" s="3" t="str">
        <x:v>Scenario Source</x:v>
      </x:c>
      <x:c r="I1" s="3" t="str">
        <x:v>Scenario Source</x:v>
      </x:c>
      <x:c r="J1" s="3" t="str">
        <x:v>Scenario Source</x:v>
      </x:c>
      <x:c r="K1" s="3" t="str">
        <x:v>Scenario Source</x:v>
      </x:c>
      <x:c r="L1" s="3" t="str">
        <x:v>Scenario Source</x:v>
      </x:c>
      <x:c r="M1" s="3" t="str">
        <x:v>Scenario Source</x:v>
      </x:c>
    </x:row>
    <x:row r="2" ht="28" customHeight="1">
      <x:c r="A2" s="6" t="str">
        <x:v>Controlled pipeline outputs and scenario assumptions.</x:v>
      </x:c>
      <x:c r="B2" s="6" t="str">
        <x:v>Controlled pipeline outputs and scenario assumptions.</x:v>
      </x:c>
      <x:c r="C2" s="6" t="str">
        <x:v>Controlled pipeline outputs and scenario assumptions.</x:v>
      </x:c>
      <x:c r="D2" s="6" t="str">
        <x:v>Controlled pipeline outputs and scenario assumptions.</x:v>
      </x:c>
      <x:c r="E2" s="6" t="str">
        <x:v>Controlled pipeline outputs and scenario assumptions.</x:v>
      </x:c>
      <x:c r="F2" s="6" t="str">
        <x:v>Controlled pipeline outputs and scenario assumptions.</x:v>
      </x:c>
      <x:c r="G2" s="6" t="str">
        <x:v>Controlled pipeline outputs and scenario assumptions.</x:v>
      </x:c>
      <x:c r="H2" s="6" t="str">
        <x:v>Controlled pipeline outputs and scenario assumptions.</x:v>
      </x:c>
      <x:c r="I2" s="6" t="str">
        <x:v>Controlled pipeline outputs and scenario assumptions.</x:v>
      </x:c>
      <x:c r="J2" s="6" t="str">
        <x:v>Controlled pipeline outputs and scenario assumptions.</x:v>
      </x:c>
      <x:c r="K2" s="6" t="str">
        <x:v>Controlled pipeline outputs and scenario assumptions.</x:v>
      </x:c>
      <x:c r="L2" s="6" t="str">
        <x:v>Controlled pipeline outputs and scenario assumptions.</x:v>
      </x:c>
      <x:c r="M2" s="6" t="str">
        <x:v>Controlled pipeline outputs and scenario assumptions.</x:v>
      </x:c>
    </x:row>
    <x:row r="4" ht="30" customHeight="1">
      <x:c r="A4" s="18" t="str">
        <x:v>scenario</x:v>
      </x:c>
      <x:c r="B4" s="19" t="str">
        <x:v>budget_try_m</x:v>
      </x:c>
      <x:c r="C4" s="19" t="str">
        <x:v>demand_multiplier</x:v>
      </x:c>
      <x:c r="D4" s="19" t="str">
        <x:v>cost_multiplier</x:v>
      </x:c>
      <x:c r="E4" s="19" t="str">
        <x:v>selected_store_count</x:v>
      </x:c>
      <x:c r="F4" s="19" t="str">
        <x:v>budget_used_try_m</x:v>
      </x:c>
      <x:c r="G4" s="19" t="str">
        <x:v>budget_utilization</x:v>
      </x:c>
      <x:c r="H4" s="19" t="str">
        <x:v>incremental_covered_population</x:v>
      </x:c>
      <x:c r="I4" s="19" t="str">
        <x:v>market_coverage_rate</x:v>
      </x:c>
      <x:c r="J4" s="19" t="str">
        <x:v>portfolio_sales_try_m</x:v>
      </x:c>
      <x:c r="K4" s="19" t="str">
        <x:v>portfolio_expected_ebit_try_m</x:v>
      </x:c>
      <x:c r="L4" s="19" t="str">
        <x:v>solver_status</x:v>
      </x:c>
      <x:c r="M4" s="20" t="str">
        <x:v>selected_candidate_ids</x:v>
      </x:c>
    </x:row>
    <x:row r="5">
      <x:c r="A5" t="str">
        <x:v>optimistic</x:v>
      </x:c>
      <x:c r="B5" s="33" t="n">
        <x:v>150</x:v>
      </x:c>
      <x:c r="C5" s="35" t="n">
        <x:v>1.15</x:v>
      </x:c>
      <x:c r="D5" s="35" t="n">
        <x:v>0.95</x:v>
      </x:c>
      <x:c r="E5" t="n">
        <x:v>6</x:v>
      </x:c>
      <x:c r="F5" s="33" t="n">
        <x:v>135.78255</x:v>
      </x:c>
      <x:c r="G5" s="23" t="n">
        <x:v>0.9052169999999999</x:v>
      </x:c>
      <x:c r="H5" s="32" t="n">
        <x:v>2068792</x:v>
      </x:c>
      <x:c r="I5" s="23" t="n">
        <x:v>0.2783482040918211</x:v>
      </x:c>
      <x:c r="J5" s="33" t="n">
        <x:v>1256.3496999999998</x:v>
      </x:c>
      <x:c r="K5" s="33" t="n">
        <x:v>81.52048849999996</x:v>
      </x:c>
      <x:c r="L5" t="str">
        <x:v>Optimal</x:v>
      </x:c>
      <x:c r="M5" t="str">
        <x:v>C24,C18,C17,C07,C03,C15</x:v>
      </x:c>
    </x:row>
    <x:row r="6">
      <x:c r="A6" t="str">
        <x:v>base</x:v>
      </x:c>
      <x:c r="B6" s="33" t="n">
        <x:v>110</x:v>
      </x:c>
      <x:c r="C6" s="35" t="n">
        <x:v>1</x:v>
      </x:c>
      <x:c r="D6" s="35" t="n">
        <x:v>1</x:v>
      </x:c>
      <x:c r="E6" t="n">
        <x:v>4</x:v>
      </x:c>
      <x:c r="F6" s="33" t="n">
        <x:v>93.382</x:v>
      </x:c>
      <x:c r="G6" s="23" t="n">
        <x:v>0.8489272727272728</x:v>
      </x:c>
      <x:c r="H6" s="32" t="n">
        <x:v>1329291</x:v>
      </x:c>
      <x:c r="I6" s="23" t="n">
        <x:v>0.23124638257544514</x:v>
      </x:c>
      <x:c r="J6" s="33" t="n">
        <x:v>732.554</x:v>
      </x:c>
      <x:c r="K6" s="33" t="n">
        <x:v>28.82556999999999</x:v>
      </x:c>
      <x:c r="L6" t="str">
        <x:v>Optimal</x:v>
      </x:c>
      <x:c r="M6" t="str">
        <x:v>C24,C18,C17,C07</x:v>
      </x:c>
    </x:row>
    <x:row r="7">
      <x:c r="A7" t="str">
        <x:v>pessimistic</x:v>
      </x:c>
      <x:c r="B7" s="33" t="n">
        <x:v>75</x:v>
      </x:c>
      <x:c r="C7" s="35" t="n">
        <x:v>0.85</x:v>
      </x:c>
      <x:c r="D7" s="35" t="n">
        <x:v>1.1</x:v>
      </x:c>
      <x:c r="E7" t="n">
        <x:v>3</x:v>
      </x:c>
      <x:c r="F7" s="33" t="n">
        <x:v>74.47330000000001</x:v>
      </x:c>
      <x:c r="G7" s="23" t="n">
        <x:v>0.9929773333333335</x:v>
      </x:c>
      <x:c r="H7" s="32" t="n">
        <x:v>908890</x:v>
      </x:c>
      <x:c r="I7" s="23" t="n">
        <x:v>0.20446933580024676</x:v>
      </x:c>
      <x:c r="J7" s="33" t="n">
        <x:v>466.55054999999993</x:v>
      </x:c>
      <x:c r="K7" s="33" t="n">
        <x:v>-2.0712372500000242</x:v>
      </x:c>
      <x:c r="L7" t="str">
        <x:v>Optimal</x:v>
      </x:c>
      <x:c r="M7" t="str">
        <x:v>C24,C18,C05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3" t="str">
        <x:v>Network Accessibility</x:v>
      </x:c>
      <x:c r="B1" s="3" t="str">
        <x:v>Network Accessibility</x:v>
      </x:c>
      <x:c r="C1" s="3" t="str">
        <x:v>Network Accessibility</x:v>
      </x:c>
      <x:c r="D1" s="3" t="str">
        <x:v>Network Accessibility</x:v>
      </x:c>
      <x:c r="E1" s="3" t="str">
        <x:v>Network Accessibility</x:v>
      </x:c>
      <x:c r="F1" s="3" t="str">
        <x:v>Network Accessibility</x:v>
      </x:c>
      <x:c r="G1" s="3" t="str">
        <x:v>Network Accessibility</x:v>
      </x:c>
    </x:row>
    <x:row r="2" ht="28" customHeight="1">
      <x:c r="A2" s="6" t="str">
        <x:v>H3 adjacency network; projected centroid edge lengths; Dijkstra travel-time cutoffs.</x:v>
      </x:c>
      <x:c r="B2" s="6" t="str">
        <x:v>H3 adjacency network; projected centroid edge lengths; Dijkstra travel-time cutoffs.</x:v>
      </x:c>
      <x:c r="C2" s="6" t="str">
        <x:v>H3 adjacency network; projected centroid edge lengths; Dijkstra travel-time cutoffs.</x:v>
      </x:c>
      <x:c r="D2" s="6" t="str">
        <x:v>H3 adjacency network; projected centroid edge lengths; Dijkstra travel-time cutoffs.</x:v>
      </x:c>
      <x:c r="E2" s="6" t="str">
        <x:v>H3 adjacency network; projected centroid edge lengths; Dijkstra travel-time cutoffs.</x:v>
      </x:c>
      <x:c r="F2" s="6" t="str">
        <x:v>H3 adjacency network; projected centroid edge lengths; Dijkstra travel-time cutoffs.</x:v>
      </x:c>
      <x:c r="G2" s="6" t="str">
        <x:v>H3 adjacency network; projected centroid edge lengths; Dijkstra travel-time cutoffs.</x:v>
      </x:c>
    </x:row>
    <x:row r="4" ht="30" customHeight="1">
      <x:c r="A4" s="18" t="str">
        <x:v>candidate_id</x:v>
      </x:c>
      <x:c r="B4" s="19" t="str">
        <x:v>source_h3_cell</x:v>
      </x:c>
      <x:c r="C4" s="19" t="str">
        <x:v>mode</x:v>
      </x:c>
      <x:c r="D4" s="19" t="str">
        <x:v>minutes</x:v>
      </x:c>
      <x:c r="E4" s="19" t="str">
        <x:v>accessible_population</x:v>
      </x:c>
      <x:c r="F4" s="19" t="str">
        <x:v>accessible_demand</x:v>
      </x:c>
      <x:c r="G4" s="20" t="str">
        <x:v>reachable_cells</x:v>
      </x:c>
    </x:row>
    <x:row r="5">
      <x:c r="A5" t="str">
        <x:v>C01</x:v>
      </x:c>
      <x:c r="B5" t="str">
        <x:v>881ec91ad1fffff</x:v>
      </x:c>
      <x:c r="C5" t="str">
        <x:v>drive</x:v>
      </x:c>
      <x:c r="D5" t="n">
        <x:v>5</x:v>
      </x:c>
      <x:c r="E5" s="32" t="n">
        <x:v>120198</x:v>
      </x:c>
      <x:c r="F5" s="32" t="n">
        <x:v>146388.752</x:v>
      </x:c>
      <x:c r="G5" t="n">
        <x:v>18</x:v>
      </x:c>
    </x:row>
    <x:row r="6">
      <x:c r="A6" t="str">
        <x:v>C01</x:v>
      </x:c>
      <x:c r="B6" t="str">
        <x:v>881ec91ad1fffff</x:v>
      </x:c>
      <x:c r="C6" t="str">
        <x:v>drive</x:v>
      </x:c>
      <x:c r="D6" t="n">
        <x:v>10</x:v>
      </x:c>
      <x:c r="E6" s="32" t="n">
        <x:v>405561</x:v>
      </x:c>
      <x:c r="F6" s="32" t="n">
        <x:v>491940.29</x:v>
      </x:c>
      <x:c r="G6" t="n">
        <x:v>61</x:v>
      </x:c>
    </x:row>
    <x:row r="7">
      <x:c r="A7" t="str">
        <x:v>C01</x:v>
      </x:c>
      <x:c r="B7" t="str">
        <x:v>881ec91ad1fffff</x:v>
      </x:c>
      <x:c r="C7" t="str">
        <x:v>drive</x:v>
      </x:c>
      <x:c r="D7" t="n">
        <x:v>15</x:v>
      </x:c>
      <x:c r="E7" s="32" t="n">
        <x:v>842518</x:v>
      </x:c>
      <x:c r="F7" s="32" t="n">
        <x:v>1020189.403</x:v>
      </x:c>
      <x:c r="G7" t="n">
        <x:v>127</x:v>
      </x:c>
    </x:row>
    <x:row r="8">
      <x:c r="A8" t="str">
        <x:v>C01</x:v>
      </x:c>
      <x:c r="B8" t="str">
        <x:v>881ec91ad1fffff</x:v>
      </x:c>
      <x:c r="C8" t="str">
        <x:v>walk</x:v>
      </x:c>
      <x:c r="D8" t="n">
        <x:v>5</x:v>
      </x:c>
      <x:c r="E8" s="32" t="n">
        <x:v>6640</x:v>
      </x:c>
      <x:c r="F8" s="32" t="n">
        <x:v>8079.708</x:v>
      </x:c>
      <x:c r="G8" t="n">
        <x:v>1</x:v>
      </x:c>
    </x:row>
    <x:row r="9">
      <x:c r="A9" t="str">
        <x:v>C01</x:v>
      </x:c>
      <x:c r="B9" t="str">
        <x:v>881ec91ad1fffff</x:v>
      </x:c>
      <x:c r="C9" t="str">
        <x:v>walk</x:v>
      </x:c>
      <x:c r="D9" t="n">
        <x:v>10</x:v>
      </x:c>
      <x:c r="E9" s="32" t="n">
        <x:v>6640</x:v>
      </x:c>
      <x:c r="F9" s="32" t="n">
        <x:v>8079.708</x:v>
      </x:c>
      <x:c r="G9" t="n">
        <x:v>1</x:v>
      </x:c>
    </x:row>
    <x:row r="10">
      <x:c r="A10" t="str">
        <x:v>C01</x:v>
      </x:c>
      <x:c r="B10" t="str">
        <x:v>881ec91ad1fffff</x:v>
      </x:c>
      <x:c r="C10" t="str">
        <x:v>walk</x:v>
      </x:c>
      <x:c r="D10" t="n">
        <x:v>15</x:v>
      </x:c>
      <x:c r="E10" s="32" t="n">
        <x:v>47008</x:v>
      </x:c>
      <x:c r="F10" s="32" t="n">
        <x:v>57341.564</x:v>
      </x:c>
      <x:c r="G10" t="n">
        <x:v>7</x:v>
      </x:c>
    </x:row>
    <x:row r="11">
      <x:c r="A11" t="str">
        <x:v>C02</x:v>
      </x:c>
      <x:c r="B11" t="str">
        <x:v>881ec9ceb1fffff</x:v>
      </x:c>
      <x:c r="C11" t="str">
        <x:v>drive</x:v>
      </x:c>
      <x:c r="D11" t="n">
        <x:v>5</x:v>
      </x:c>
      <x:c r="E11" s="32" t="n">
        <x:v>99483</x:v>
      </x:c>
      <x:c r="F11" s="32" t="n">
        <x:v>109666.573</x:v>
      </x:c>
      <x:c r="G11" t="n">
        <x:v>16</x:v>
      </x:c>
    </x:row>
    <x:row r="12">
      <x:c r="A12" t="str">
        <x:v>C02</x:v>
      </x:c>
      <x:c r="B12" t="str">
        <x:v>881ec9ceb1fffff</x:v>
      </x:c>
      <x:c r="C12" t="str">
        <x:v>drive</x:v>
      </x:c>
      <x:c r="D12" t="n">
        <x:v>10</x:v>
      </x:c>
      <x:c r="E12" s="32" t="n">
        <x:v>328230</x:v>
      </x:c>
      <x:c r="F12" s="32" t="n">
        <x:v>361024.881</x:v>
      </x:c>
      <x:c r="G12" t="n">
        <x:v>56</x:v>
      </x:c>
    </x:row>
    <x:row r="13">
      <x:c r="A13" t="str">
        <x:v>C02</x:v>
      </x:c>
      <x:c r="B13" t="str">
        <x:v>881ec9ceb1fffff</x:v>
      </x:c>
      <x:c r="C13" t="str">
        <x:v>drive</x:v>
      </x:c>
      <x:c r="D13" t="n">
        <x:v>15</x:v>
      </x:c>
      <x:c r="E13" s="32" t="n">
        <x:v>677296</x:v>
      </x:c>
      <x:c r="F13" s="32" t="n">
        <x:v>745538.725</x:v>
      </x:c>
      <x:c r="G13" t="n">
        <x:v>123</x:v>
      </x:c>
    </x:row>
    <x:row r="14">
      <x:c r="A14" t="str">
        <x:v>C02</x:v>
      </x:c>
      <x:c r="B14" t="str">
        <x:v>881ec9ceb1fffff</x:v>
      </x:c>
      <x:c r="C14" t="str">
        <x:v>walk</x:v>
      </x:c>
      <x:c r="D14" t="n">
        <x:v>5</x:v>
      </x:c>
      <x:c r="E14" s="32" t="n">
        <x:v>6617</x:v>
      </x:c>
      <x:c r="F14" s="32" t="n">
        <x:v>7308.941</x:v>
      </x:c>
      <x:c r="G14" t="n">
        <x:v>1</x:v>
      </x:c>
    </x:row>
    <x:row r="15">
      <x:c r="A15" t="str">
        <x:v>C02</x:v>
      </x:c>
      <x:c r="B15" t="str">
        <x:v>881ec9ceb1fffff</x:v>
      </x:c>
      <x:c r="C15" t="str">
        <x:v>walk</x:v>
      </x:c>
      <x:c r="D15" t="n">
        <x:v>10</x:v>
      </x:c>
      <x:c r="E15" s="32" t="n">
        <x:v>6617</x:v>
      </x:c>
      <x:c r="F15" s="32" t="n">
        <x:v>7308.941</x:v>
      </x:c>
      <x:c r="G15" t="n">
        <x:v>1</x:v>
      </x:c>
    </x:row>
    <x:row r="16">
      <x:c r="A16" t="str">
        <x:v>C02</x:v>
      </x:c>
      <x:c r="B16" t="str">
        <x:v>881ec9ceb1fffff</x:v>
      </x:c>
      <x:c r="C16" t="str">
        <x:v>walk</x:v>
      </x:c>
      <x:c r="D16" t="n">
        <x:v>15</x:v>
      </x:c>
      <x:c r="E16" s="32" t="n">
        <x:v>45137</x:v>
      </x:c>
      <x:c r="F16" s="32" t="n">
        <x:v>49742.115</x:v>
      </x:c>
      <x:c r="G16" t="n">
        <x:v>7</x:v>
      </x:c>
    </x:row>
    <x:row r="17">
      <x:c r="A17" t="str">
        <x:v>C03</x:v>
      </x:c>
      <x:c r="B17" t="str">
        <x:v>881ec91b57fffff</x:v>
      </x:c>
      <x:c r="C17" t="str">
        <x:v>drive</x:v>
      </x:c>
      <x:c r="D17" t="n">
        <x:v>5</x:v>
      </x:c>
      <x:c r="E17" s="32" t="n">
        <x:v>118989</x:v>
      </x:c>
      <x:c r="F17" s="32" t="n">
        <x:v>133086.496</x:v>
      </x:c>
      <x:c r="G17" t="n">
        <x:v>18</x:v>
      </x:c>
    </x:row>
    <x:row r="18">
      <x:c r="A18" t="str">
        <x:v>C03</x:v>
      </x:c>
      <x:c r="B18" t="str">
        <x:v>881ec91b57fffff</x:v>
      </x:c>
      <x:c r="C18" t="str">
        <x:v>drive</x:v>
      </x:c>
      <x:c r="D18" t="n">
        <x:v>10</x:v>
      </x:c>
      <x:c r="E18" s="32" t="n">
        <x:v>394377</x:v>
      </x:c>
      <x:c r="F18" s="32" t="n">
        <x:v>443149.87</x:v>
      </x:c>
      <x:c r="G18" t="n">
        <x:v>60</x:v>
      </x:c>
    </x:row>
    <x:row r="19">
      <x:c r="A19" t="str">
        <x:v>C03</x:v>
      </x:c>
      <x:c r="B19" t="str">
        <x:v>881ec91b57fffff</x:v>
      </x:c>
      <x:c r="C19" t="str">
        <x:v>drive</x:v>
      </x:c>
      <x:c r="D19" t="n">
        <x:v>15</x:v>
      </x:c>
      <x:c r="E19" s="32" t="n">
        <x:v>797930</x:v>
      </x:c>
      <x:c r="F19" s="32" t="n">
        <x:v>898396.441</x:v>
      </x:c>
      <x:c r="G19" t="n">
        <x:v>125</x:v>
      </x:c>
    </x:row>
    <x:row r="20">
      <x:c r="A20" t="str">
        <x:v>C03</x:v>
      </x:c>
      <x:c r="B20" t="str">
        <x:v>881ec91b57fffff</x:v>
      </x:c>
      <x:c r="C20" t="str">
        <x:v>walk</x:v>
      </x:c>
      <x:c r="D20" t="n">
        <x:v>5</x:v>
      </x:c>
      <x:c r="E20" s="32" t="n">
        <x:v>6452</x:v>
      </x:c>
      <x:c r="F20" s="32" t="n">
        <x:v>7146.299</x:v>
      </x:c>
      <x:c r="G20" t="n">
        <x:v>1</x:v>
      </x:c>
    </x:row>
    <x:row r="21">
      <x:c r="A21" t="str">
        <x:v>C03</x:v>
      </x:c>
      <x:c r="B21" t="str">
        <x:v>881ec91b57fffff</x:v>
      </x:c>
      <x:c r="C21" t="str">
        <x:v>walk</x:v>
      </x:c>
      <x:c r="D21" t="n">
        <x:v>10</x:v>
      </x:c>
      <x:c r="E21" s="32" t="n">
        <x:v>6452</x:v>
      </x:c>
      <x:c r="F21" s="32" t="n">
        <x:v>7146.299</x:v>
      </x:c>
      <x:c r="G21" t="n">
        <x:v>1</x:v>
      </x:c>
    </x:row>
    <x:row r="22">
      <x:c r="A22" t="str">
        <x:v>C03</x:v>
      </x:c>
      <x:c r="B22" t="str">
        <x:v>881ec91b57fffff</x:v>
      </x:c>
      <x:c r="C22" t="str">
        <x:v>walk</x:v>
      </x:c>
      <x:c r="D22" t="n">
        <x:v>15</x:v>
      </x:c>
      <x:c r="E22" s="32" t="n">
        <x:v>45694</x:v>
      </x:c>
      <x:c r="F22" s="32" t="n">
        <x:v>50760.596</x:v>
      </x:c>
      <x:c r="G22" t="n">
        <x:v>7</x:v>
      </x:c>
    </x:row>
    <x:row r="23">
      <x:c r="A23" t="str">
        <x:v>C04</x:v>
      </x:c>
      <x:c r="B23" t="str">
        <x:v>881ec9c5e3fffff</x:v>
      </x:c>
      <x:c r="C23" t="str">
        <x:v>drive</x:v>
      </x:c>
      <x:c r="D23" t="n">
        <x:v>5</x:v>
      </x:c>
      <x:c r="E23" s="32" t="n">
        <x:v>106300</x:v>
      </x:c>
      <x:c r="F23" s="32" t="n">
        <x:v>116725.594</x:v>
      </x:c>
      <x:c r="G23" t="n">
        <x:v>16</x:v>
      </x:c>
    </x:row>
    <x:row r="24">
      <x:c r="A24" t="str">
        <x:v>C04</x:v>
      </x:c>
      <x:c r="B24" t="str">
        <x:v>881ec9c5e3fffff</x:v>
      </x:c>
      <x:c r="C24" t="str">
        <x:v>drive</x:v>
      </x:c>
      <x:c r="D24" t="n">
        <x:v>10</x:v>
      </x:c>
      <x:c r="E24" s="32" t="n">
        <x:v>338452</x:v>
      </x:c>
      <x:c r="F24" s="32" t="n">
        <x:v>371840.808</x:v>
      </x:c>
      <x:c r="G24" t="n">
        <x:v>51</x:v>
      </x:c>
    </x:row>
    <x:row r="25">
      <x:c r="A25" t="str">
        <x:v>C04</x:v>
      </x:c>
      <x:c r="B25" t="str">
        <x:v>881ec9c5e3fffff</x:v>
      </x:c>
      <x:c r="C25" t="str">
        <x:v>drive</x:v>
      </x:c>
      <x:c r="D25" t="n">
        <x:v>15</x:v>
      </x:c>
      <x:c r="E25" s="32" t="n">
        <x:v>782730</x:v>
      </x:c>
      <x:c r="F25" s="32" t="n">
        <x:v>859894.378</x:v>
      </x:c>
      <x:c r="G25" t="n">
        <x:v>121</x:v>
      </x:c>
    </x:row>
    <x:row r="26">
      <x:c r="A26" t="str">
        <x:v>C04</x:v>
      </x:c>
      <x:c r="B26" t="str">
        <x:v>881ec9c5e3fffff</x:v>
      </x:c>
      <x:c r="C26" t="str">
        <x:v>walk</x:v>
      </x:c>
      <x:c r="D26" t="n">
        <x:v>5</x:v>
      </x:c>
      <x:c r="E26" s="32" t="n">
        <x:v>6603</x:v>
      </x:c>
      <x:c r="F26" s="32" t="n">
        <x:v>7247.912</x:v>
      </x:c>
      <x:c r="G26" t="n">
        <x:v>1</x:v>
      </x:c>
    </x:row>
    <x:row r="27">
      <x:c r="A27" t="str">
        <x:v>C04</x:v>
      </x:c>
      <x:c r="B27" t="str">
        <x:v>881ec9c5e3fffff</x:v>
      </x:c>
      <x:c r="C27" t="str">
        <x:v>walk</x:v>
      </x:c>
      <x:c r="D27" t="n">
        <x:v>10</x:v>
      </x:c>
      <x:c r="E27" s="32" t="n">
        <x:v>6603</x:v>
      </x:c>
      <x:c r="F27" s="32" t="n">
        <x:v>7247.912</x:v>
      </x:c>
      <x:c r="G27" t="n">
        <x:v>1</x:v>
      </x:c>
    </x:row>
    <x:row r="28">
      <x:c r="A28" t="str">
        <x:v>C04</x:v>
      </x:c>
      <x:c r="B28" t="str">
        <x:v>881ec9c5e3fffff</x:v>
      </x:c>
      <x:c r="C28" t="str">
        <x:v>walk</x:v>
      </x:c>
      <x:c r="D28" t="n">
        <x:v>15</x:v>
      </x:c>
      <x:c r="E28" s="32" t="n">
        <x:v>46124</x:v>
      </x:c>
      <x:c r="F28" s="32" t="n">
        <x:v>50508.72</x:v>
      </x:c>
      <x:c r="G28" t="n">
        <x:v>7</x:v>
      </x:c>
    </x:row>
    <x:row r="29">
      <x:c r="A29" t="str">
        <x:v>C05</x:v>
      </x:c>
      <x:c r="B29" t="str">
        <x:v>881ec910cbfffff</x:v>
      </x:c>
      <x:c r="C29" t="str">
        <x:v>drive</x:v>
      </x:c>
      <x:c r="D29" t="n">
        <x:v>5</x:v>
      </x:c>
      <x:c r="E29" s="32" t="n">
        <x:v>125206</x:v>
      </x:c>
      <x:c r="F29" s="32" t="n">
        <x:v>156218.982</x:v>
      </x:c>
      <x:c r="G29" t="n">
        <x:v>19</x:v>
      </x:c>
    </x:row>
    <x:row r="30">
      <x:c r="A30" t="str">
        <x:v>C05</x:v>
      </x:c>
      <x:c r="B30" t="str">
        <x:v>881ec910cbfffff</x:v>
      </x:c>
      <x:c r="C30" t="str">
        <x:v>drive</x:v>
      </x:c>
      <x:c r="D30" t="n">
        <x:v>10</x:v>
      </x:c>
      <x:c r="E30" s="32" t="n">
        <x:v>404027</x:v>
      </x:c>
      <x:c r="F30" s="32" t="n">
        <x:v>505255.777</x:v>
      </x:c>
      <x:c r="G30" t="n">
        <x:v>61</x:v>
      </x:c>
    </x:row>
    <x:row r="31">
      <x:c r="A31" t="str">
        <x:v>C05</x:v>
      </x:c>
      <x:c r="B31" t="str">
        <x:v>881ec910cbfffff</x:v>
      </x:c>
      <x:c r="C31" t="str">
        <x:v>drive</x:v>
      </x:c>
      <x:c r="D31" t="n">
        <x:v>15</x:v>
      </x:c>
      <x:c r="E31" s="32" t="n">
        <x:v>842125</x:v>
      </x:c>
      <x:c r="F31" s="32" t="n">
        <x:v>1052369.305</x:v>
      </x:c>
      <x:c r="G31" t="n">
        <x:v>127</x:v>
      </x:c>
    </x:row>
    <x:row r="32">
      <x:c r="A32" t="str">
        <x:v>C05</x:v>
      </x:c>
      <x:c r="B32" t="str">
        <x:v>881ec910cbfffff</x:v>
      </x:c>
      <x:c r="C32" t="str">
        <x:v>walk</x:v>
      </x:c>
      <x:c r="D32" t="n">
        <x:v>5</x:v>
      </x:c>
      <x:c r="E32" s="32" t="n">
        <x:v>6452</x:v>
      </x:c>
      <x:c r="F32" s="32" t="n">
        <x:v>7958.245</x:v>
      </x:c>
      <x:c r="G32" t="n">
        <x:v>1</x:v>
      </x:c>
    </x:row>
    <x:row r="33">
      <x:c r="A33" t="str">
        <x:v>C05</x:v>
      </x:c>
      <x:c r="B33" t="str">
        <x:v>881ec910cbfffff</x:v>
      </x:c>
      <x:c r="C33" t="str">
        <x:v>walk</x:v>
      </x:c>
      <x:c r="D33" t="n">
        <x:v>10</x:v>
      </x:c>
      <x:c r="E33" s="32" t="n">
        <x:v>6452</x:v>
      </x:c>
      <x:c r="F33" s="32" t="n">
        <x:v>7958.245</x:v>
      </x:c>
      <x:c r="G33" t="n">
        <x:v>1</x:v>
      </x:c>
    </x:row>
    <x:row r="34">
      <x:c r="A34" t="str">
        <x:v>C05</x:v>
      </x:c>
      <x:c r="B34" t="str">
        <x:v>881ec910cbfffff</x:v>
      </x:c>
      <x:c r="C34" t="str">
        <x:v>walk</x:v>
      </x:c>
      <x:c r="D34" t="n">
        <x:v>15</x:v>
      </x:c>
      <x:c r="E34" s="32" t="n">
        <x:v>46029</x:v>
      </x:c>
      <x:c r="F34" s="32" t="n">
        <x:v>57366.746</x:v>
      </x:c>
      <x:c r="G34" t="n">
        <x:v>7</x:v>
      </x:c>
    </x:row>
    <x:row r="35">
      <x:c r="A35" t="str">
        <x:v>C06</x:v>
      </x:c>
      <x:c r="B35" t="str">
        <x:v>881ec91363fffff</x:v>
      </x:c>
      <x:c r="C35" t="str">
        <x:v>drive</x:v>
      </x:c>
      <x:c r="D35" t="n">
        <x:v>5</x:v>
      </x:c>
      <x:c r="E35" s="32" t="n">
        <x:v>125334</x:v>
      </x:c>
      <x:c r="F35" s="32" t="n">
        <x:v>143530.479</x:v>
      </x:c>
      <x:c r="G35" t="n">
        <x:v>19</x:v>
      </x:c>
    </x:row>
    <x:row r="36">
      <x:c r="A36" t="str">
        <x:v>C06</x:v>
      </x:c>
      <x:c r="B36" t="str">
        <x:v>881ec91363fffff</x:v>
      </x:c>
      <x:c r="C36" t="str">
        <x:v>drive</x:v>
      </x:c>
      <x:c r="D36" t="n">
        <x:v>10</x:v>
      </x:c>
      <x:c r="E36" s="32" t="n">
        <x:v>389561</x:v>
      </x:c>
      <x:c r="F36" s="32" t="n">
        <x:v>446997.887</x:v>
      </x:c>
      <x:c r="G36" t="n">
        <x:v>61</x:v>
      </x:c>
    </x:row>
    <x:row r="37">
      <x:c r="A37" t="str">
        <x:v>C06</x:v>
      </x:c>
      <x:c r="B37" t="str">
        <x:v>881ec91363fffff</x:v>
      </x:c>
      <x:c r="C37" t="str">
        <x:v>drive</x:v>
      </x:c>
      <x:c r="D37" t="n">
        <x:v>15</x:v>
      </x:c>
      <x:c r="E37" s="32" t="n">
        <x:v>775952</x:v>
      </x:c>
      <x:c r="F37" s="32" t="n">
        <x:v>892263.921</x:v>
      </x:c>
      <x:c r="G37" t="n">
        <x:v>127</x:v>
      </x:c>
    </x:row>
    <x:row r="38">
      <x:c r="A38" t="str">
        <x:v>C06</x:v>
      </x:c>
      <x:c r="B38" t="str">
        <x:v>881ec91363fffff</x:v>
      </x:c>
      <x:c r="C38" t="str">
        <x:v>walk</x:v>
      </x:c>
      <x:c r="D38" t="n">
        <x:v>5</x:v>
      </x:c>
      <x:c r="E38" s="32" t="n">
        <x:v>6549</x:v>
      </x:c>
      <x:c r="F38" s="32" t="n">
        <x:v>7480.103</x:v>
      </x:c>
      <x:c r="G38" t="n">
        <x:v>1</x:v>
      </x:c>
    </x:row>
    <x:row r="39">
      <x:c r="A39" t="str">
        <x:v>C06</x:v>
      </x:c>
      <x:c r="B39" t="str">
        <x:v>881ec91363fffff</x:v>
      </x:c>
      <x:c r="C39" t="str">
        <x:v>walk</x:v>
      </x:c>
      <x:c r="D39" t="n">
        <x:v>10</x:v>
      </x:c>
      <x:c r="E39" s="32" t="n">
        <x:v>6549</x:v>
      </x:c>
      <x:c r="F39" s="32" t="n">
        <x:v>7480.103</x:v>
      </x:c>
      <x:c r="G39" t="n">
        <x:v>1</x:v>
      </x:c>
    </x:row>
    <x:row r="40">
      <x:c r="A40" t="str">
        <x:v>C06</x:v>
      </x:c>
      <x:c r="B40" t="str">
        <x:v>881ec91363fffff</x:v>
      </x:c>
      <x:c r="C40" t="str">
        <x:v>walk</x:v>
      </x:c>
      <x:c r="D40" t="n">
        <x:v>15</x:v>
      </x:c>
      <x:c r="E40" s="32" t="n">
        <x:v>46559</x:v>
      </x:c>
      <x:c r="F40" s="32" t="n">
        <x:v>53510.529</x:v>
      </x:c>
      <x:c r="G40" t="n">
        <x:v>7</x:v>
      </x:c>
    </x:row>
    <x:row r="41">
      <x:c r="A41" t="str">
        <x:v>C07</x:v>
      </x:c>
      <x:c r="B41" t="str">
        <x:v>881ec91017fffff</x:v>
      </x:c>
      <x:c r="C41" t="str">
        <x:v>drive</x:v>
      </x:c>
      <x:c r="D41" t="n">
        <x:v>5</x:v>
      </x:c>
      <x:c r="E41" s="32" t="n">
        <x:v>126631</x:v>
      </x:c>
      <x:c r="F41" s="32" t="n">
        <x:v>157808.082</x:v>
      </x:c>
      <x:c r="G41" t="n">
        <x:v>19</x:v>
      </x:c>
    </x:row>
    <x:row r="42">
      <x:c r="A42" t="str">
        <x:v>C07</x:v>
      </x:c>
      <x:c r="B42" t="str">
        <x:v>881ec91017fffff</x:v>
      </x:c>
      <x:c r="C42" t="str">
        <x:v>drive</x:v>
      </x:c>
      <x:c r="D42" t="n">
        <x:v>10</x:v>
      </x:c>
      <x:c r="E42" s="32" t="n">
        <x:v>405849</x:v>
      </x:c>
      <x:c r="F42" s="32" t="n">
        <x:v>504656.318</x:v>
      </x:c>
      <x:c r="G42" t="n">
        <x:v>61</x:v>
      </x:c>
    </x:row>
    <x:row r="43">
      <x:c r="A43" t="str">
        <x:v>C07</x:v>
      </x:c>
      <x:c r="B43" t="str">
        <x:v>881ec91017fffff</x:v>
      </x:c>
      <x:c r="C43" t="str">
        <x:v>drive</x:v>
      </x:c>
      <x:c r="D43" t="n">
        <x:v>15</x:v>
      </x:c>
      <x:c r="E43" s="32" t="n">
        <x:v>843811</x:v>
      </x:c>
      <x:c r="F43" s="32" t="n">
        <x:v>1047257.859</x:v>
      </x:c>
      <x:c r="G43" t="n">
        <x:v>127</x:v>
      </x:c>
    </x:row>
    <x:row r="44">
      <x:c r="A44" t="str">
        <x:v>C07</x:v>
      </x:c>
      <x:c r="B44" t="str">
        <x:v>881ec91017fffff</x:v>
      </x:c>
      <x:c r="C44" t="str">
        <x:v>walk</x:v>
      </x:c>
      <x:c r="D44" t="n">
        <x:v>5</x:v>
      </x:c>
      <x:c r="E44" s="32" t="n">
        <x:v>6452</x:v>
      </x:c>
      <x:c r="F44" s="32" t="n">
        <x:v>7932.299</x:v>
      </x:c>
      <x:c r="G44" t="n">
        <x:v>1</x:v>
      </x:c>
    </x:row>
    <x:row r="45">
      <x:c r="A45" t="str">
        <x:v>C07</x:v>
      </x:c>
      <x:c r="B45" t="str">
        <x:v>881ec91017fffff</x:v>
      </x:c>
      <x:c r="C45" t="str">
        <x:v>walk</x:v>
      </x:c>
      <x:c r="D45" t="n">
        <x:v>10</x:v>
      </x:c>
      <x:c r="E45" s="32" t="n">
        <x:v>6452</x:v>
      </x:c>
      <x:c r="F45" s="32" t="n">
        <x:v>7932.299</x:v>
      </x:c>
      <x:c r="G45" t="n">
        <x:v>1</x:v>
      </x:c>
    </x:row>
    <x:row r="46">
      <x:c r="A46" t="str">
        <x:v>C07</x:v>
      </x:c>
      <x:c r="B46" t="str">
        <x:v>881ec91017fffff</x:v>
      </x:c>
      <x:c r="C46" t="str">
        <x:v>walk</x:v>
      </x:c>
      <x:c r="D46" t="n">
        <x:v>15</x:v>
      </x:c>
      <x:c r="E46" s="32" t="n">
        <x:v>46944</x:v>
      </x:c>
      <x:c r="F46" s="32" t="n">
        <x:v>58695.133</x:v>
      </x:c>
      <x:c r="G46" t="n">
        <x:v>7</x:v>
      </x:c>
    </x:row>
    <x:row r="47">
      <x:c r="A47" t="str">
        <x:v>C08</x:v>
      </x:c>
      <x:c r="B47" t="str">
        <x:v>881ec98dd5fffff</x:v>
      </x:c>
      <x:c r="C47" t="str">
        <x:v>drive</x:v>
      </x:c>
      <x:c r="D47" t="n">
        <x:v>5</x:v>
      </x:c>
      <x:c r="E47" s="32" t="n">
        <x:v>105530</x:v>
      </x:c>
      <x:c r="F47" s="32" t="n">
        <x:v>132915.386</x:v>
      </x:c>
      <x:c r="G47" t="n">
        <x:v>19</x:v>
      </x:c>
    </x:row>
    <x:row r="48">
      <x:c r="A48" t="str">
        <x:v>C08</x:v>
      </x:c>
      <x:c r="B48" t="str">
        <x:v>881ec98dd5fffff</x:v>
      </x:c>
      <x:c r="C48" t="str">
        <x:v>drive</x:v>
      </x:c>
      <x:c r="D48" t="n">
        <x:v>10</x:v>
      </x:c>
      <x:c r="E48" s="32" t="n">
        <x:v>271395</x:v>
      </x:c>
      <x:c r="F48" s="32" t="n">
        <x:v>340209.538</x:v>
      </x:c>
      <x:c r="G48" t="n">
        <x:v>53</x:v>
      </x:c>
    </x:row>
    <x:row r="49">
      <x:c r="A49" t="str">
        <x:v>C08</x:v>
      </x:c>
      <x:c r="B49" t="str">
        <x:v>881ec98dd5fffff</x:v>
      </x:c>
      <x:c r="C49" t="str">
        <x:v>drive</x:v>
      </x:c>
      <x:c r="D49" t="n">
        <x:v>15</x:v>
      </x:c>
      <x:c r="E49" s="32" t="n">
        <x:v>490996</x:v>
      </x:c>
      <x:c r="F49" s="32" t="n">
        <x:v>615274.846</x:v>
      </x:c>
      <x:c r="G49" t="n">
        <x:v>107</x:v>
      </x:c>
    </x:row>
    <x:row r="50">
      <x:c r="A50" t="str">
        <x:v>C08</x:v>
      </x:c>
      <x:c r="B50" t="str">
        <x:v>881ec98dd5fffff</x:v>
      </x:c>
      <x:c r="C50" t="str">
        <x:v>walk</x:v>
      </x:c>
      <x:c r="D50" t="n">
        <x:v>5</x:v>
      </x:c>
      <x:c r="E50" s="32" t="n">
        <x:v>5752</x:v>
      </x:c>
      <x:c r="F50" s="32" t="n">
        <x:v>7174.219</x:v>
      </x:c>
      <x:c r="G50" t="n">
        <x:v>1</x:v>
      </x:c>
    </x:row>
    <x:row r="51">
      <x:c r="A51" t="str">
        <x:v>C08</x:v>
      </x:c>
      <x:c r="B51" t="str">
        <x:v>881ec98dd5fffff</x:v>
      </x:c>
      <x:c r="C51" t="str">
        <x:v>walk</x:v>
      </x:c>
      <x:c r="D51" t="n">
        <x:v>10</x:v>
      </x:c>
      <x:c r="E51" s="32" t="n">
        <x:v>5752</x:v>
      </x:c>
      <x:c r="F51" s="32" t="n">
        <x:v>7174.219</x:v>
      </x:c>
      <x:c r="G51" t="n">
        <x:v>1</x:v>
      </x:c>
    </x:row>
    <x:row r="52">
      <x:c r="A52" t="str">
        <x:v>C08</x:v>
      </x:c>
      <x:c r="B52" t="str">
        <x:v>881ec98dd5fffff</x:v>
      </x:c>
      <x:c r="C52" t="str">
        <x:v>walk</x:v>
      </x:c>
      <x:c r="D52" t="n">
        <x:v>15</x:v>
      </x:c>
      <x:c r="E52" s="32" t="n">
        <x:v>40942</x:v>
      </x:c>
      <x:c r="F52" s="32" t="n">
        <x:v>51806.221</x:v>
      </x:c>
      <x:c r="G52" t="n">
        <x:v>7</x:v>
      </x:c>
    </x:row>
    <x:row r="53">
      <x:c r="A53" t="str">
        <x:v>C09</x:v>
      </x:c>
      <x:c r="B53" t="str">
        <x:v>881ec90349fffff</x:v>
      </x:c>
      <x:c r="C53" t="str">
        <x:v>drive</x:v>
      </x:c>
      <x:c r="D53" t="n">
        <x:v>5</x:v>
      </x:c>
      <x:c r="E53" s="32" t="n">
        <x:v>124505</x:v>
      </x:c>
      <x:c r="F53" s="32" t="n">
        <x:v>152757.628</x:v>
      </x:c>
      <x:c r="G53" t="n">
        <x:v>19</x:v>
      </x:c>
    </x:row>
    <x:row r="54">
      <x:c r="A54" t="str">
        <x:v>C09</x:v>
      </x:c>
      <x:c r="B54" t="str">
        <x:v>881ec90349fffff</x:v>
      </x:c>
      <x:c r="C54" t="str">
        <x:v>drive</x:v>
      </x:c>
      <x:c r="D54" t="n">
        <x:v>10</x:v>
      </x:c>
      <x:c r="E54" s="32" t="n">
        <x:v>404165</x:v>
      </x:c>
      <x:c r="F54" s="32" t="n">
        <x:v>498244.435</x:v>
      </x:c>
      <x:c r="G54" t="n">
        <x:v>61</x:v>
      </x:c>
    </x:row>
    <x:row r="55">
      <x:c r="A55" t="str">
        <x:v>C09</x:v>
      </x:c>
      <x:c r="B55" t="str">
        <x:v>881ec90349fffff</x:v>
      </x:c>
      <x:c r="C55" t="str">
        <x:v>drive</x:v>
      </x:c>
      <x:c r="D55" t="n">
        <x:v>15</x:v>
      </x:c>
      <x:c r="E55" s="32" t="n">
        <x:v>842219</x:v>
      </x:c>
      <x:c r="F55" s="32" t="n">
        <x:v>1037543.204</x:v>
      </x:c>
      <x:c r="G55" t="n">
        <x:v>127</x:v>
      </x:c>
    </x:row>
    <x:row r="56">
      <x:c r="A56" t="str">
        <x:v>C09</x:v>
      </x:c>
      <x:c r="B56" t="str">
        <x:v>881ec90349fffff</x:v>
      </x:c>
      <x:c r="C56" t="str">
        <x:v>walk</x:v>
      </x:c>
      <x:c r="D56" t="n">
        <x:v>5</x:v>
      </x:c>
      <x:c r="E56" s="32" t="n">
        <x:v>6452</x:v>
      </x:c>
      <x:c r="F56" s="32" t="n">
        <x:v>7824.064</x:v>
      </x:c>
      <x:c r="G56" t="n">
        <x:v>1</x:v>
      </x:c>
    </x:row>
    <x:row r="57">
      <x:c r="A57" t="str">
        <x:v>C09</x:v>
      </x:c>
      <x:c r="B57" t="str">
        <x:v>881ec90349fffff</x:v>
      </x:c>
      <x:c r="C57" t="str">
        <x:v>walk</x:v>
      </x:c>
      <x:c r="D57" t="n">
        <x:v>10</x:v>
      </x:c>
      <x:c r="E57" s="32" t="n">
        <x:v>6452</x:v>
      </x:c>
      <x:c r="F57" s="32" t="n">
        <x:v>7824.064</x:v>
      </x:c>
      <x:c r="G57" t="n">
        <x:v>1</x:v>
      </x:c>
    </x:row>
    <x:row r="58">
      <x:c r="A58" t="str">
        <x:v>C09</x:v>
      </x:c>
      <x:c r="B58" t="str">
        <x:v>881ec90349fffff</x:v>
      </x:c>
      <x:c r="C58" t="str">
        <x:v>walk</x:v>
      </x:c>
      <x:c r="D58" t="n">
        <x:v>15</x:v>
      </x:c>
      <x:c r="E58" s="32" t="n">
        <x:v>45785</x:v>
      </x:c>
      <x:c r="F58" s="32" t="n">
        <x:v>56075.972</x:v>
      </x:c>
      <x:c r="G58" t="n">
        <x:v>7</x:v>
      </x:c>
    </x:row>
    <x:row r="59">
      <x:c r="A59" t="str">
        <x:v>C10</x:v>
      </x:c>
      <x:c r="B59" t="str">
        <x:v>881ec911c1fffff</x:v>
      </x:c>
      <x:c r="C59" t="str">
        <x:v>drive</x:v>
      </x:c>
      <x:c r="D59" t="n">
        <x:v>5</x:v>
      </x:c>
      <x:c r="E59" s="32" t="n">
        <x:v>127549</x:v>
      </x:c>
      <x:c r="F59" s="32" t="n">
        <x:v>157989.472</x:v>
      </x:c>
      <x:c r="G59" t="n">
        <x:v>19</x:v>
      </x:c>
    </x:row>
    <x:row r="60">
      <x:c r="A60" t="str">
        <x:v>C10</x:v>
      </x:c>
      <x:c r="B60" t="str">
        <x:v>881ec911c1fffff</x:v>
      </x:c>
      <x:c r="C60" t="str">
        <x:v>drive</x:v>
      </x:c>
      <x:c r="D60" t="n">
        <x:v>10</x:v>
      </x:c>
      <x:c r="E60" s="32" t="n">
        <x:v>406706</x:v>
      </x:c>
      <x:c r="F60" s="32" t="n">
        <x:v>501130.18</x:v>
      </x:c>
      <x:c r="G60" t="n">
        <x:v>61</x:v>
      </x:c>
    </x:row>
    <x:row r="61">
      <x:c r="A61" t="str">
        <x:v>C10</x:v>
      </x:c>
      <x:c r="B61" t="str">
        <x:v>881ec911c1fffff</x:v>
      </x:c>
      <x:c r="C61" t="str">
        <x:v>drive</x:v>
      </x:c>
      <x:c r="D61" t="n">
        <x:v>15</x:v>
      </x:c>
      <x:c r="E61" s="32" t="n">
        <x:v>842646</x:v>
      </x:c>
      <x:c r="F61" s="32" t="n">
        <x:v>1034143.732</x:v>
      </x:c>
      <x:c r="G61" t="n">
        <x:v>127</x:v>
      </x:c>
    </x:row>
    <x:row r="62">
      <x:c r="A62" t="str">
        <x:v>C10</x:v>
      </x:c>
      <x:c r="B62" t="str">
        <x:v>881ec911c1fffff</x:v>
      </x:c>
      <x:c r="C62" t="str">
        <x:v>walk</x:v>
      </x:c>
      <x:c r="D62" t="n">
        <x:v>5</x:v>
      </x:c>
      <x:c r="E62" s="32" t="n">
        <x:v>6452</x:v>
      </x:c>
      <x:c r="F62" s="32" t="n">
        <x:v>7854.156</x:v>
      </x:c>
      <x:c r="G62" t="n">
        <x:v>1</x:v>
      </x:c>
    </x:row>
    <x:row r="63">
      <x:c r="A63" t="str">
        <x:v>C10</x:v>
      </x:c>
      <x:c r="B63" t="str">
        <x:v>881ec911c1fffff</x:v>
      </x:c>
      <x:c r="C63" t="str">
        <x:v>walk</x:v>
      </x:c>
      <x:c r="D63" t="n">
        <x:v>10</x:v>
      </x:c>
      <x:c r="E63" s="32" t="n">
        <x:v>6452</x:v>
      </x:c>
      <x:c r="F63" s="32" t="n">
        <x:v>7854.156</x:v>
      </x:c>
      <x:c r="G63" t="n">
        <x:v>1</x:v>
      </x:c>
    </x:row>
    <x:row r="64">
      <x:c r="A64" t="str">
        <x:v>C10</x:v>
      </x:c>
      <x:c r="B64" t="str">
        <x:v>881ec911c1fffff</x:v>
      </x:c>
      <x:c r="C64" t="str">
        <x:v>walk</x:v>
      </x:c>
      <x:c r="D64" t="n">
        <x:v>15</x:v>
      </x:c>
      <x:c r="E64" s="32" t="n">
        <x:v>47636</x:v>
      </x:c>
      <x:c r="F64" s="32" t="n">
        <x:v>59322.837</x:v>
      </x:c>
      <x:c r="G64" t="n">
        <x:v>7</x:v>
      </x:c>
    </x:row>
    <x:row r="65">
      <x:c r="A65" t="str">
        <x:v>C11</x:v>
      </x:c>
      <x:c r="B65" t="str">
        <x:v>881ec915bdfffff</x:v>
      </x:c>
      <x:c r="C65" t="str">
        <x:v>drive</x:v>
      </x:c>
      <x:c r="D65" t="n">
        <x:v>5</x:v>
      </x:c>
      <x:c r="E65" s="32" t="n">
        <x:v>106103</x:v>
      </x:c>
      <x:c r="F65" s="32" t="n">
        <x:v>126511.584</x:v>
      </x:c>
      <x:c r="G65" t="n">
        <x:v>16</x:v>
      </x:c>
    </x:row>
    <x:row r="66">
      <x:c r="A66" t="str">
        <x:v>C11</x:v>
      </x:c>
      <x:c r="B66" t="str">
        <x:v>881ec915bdfffff</x:v>
      </x:c>
      <x:c r="C66" t="str">
        <x:v>drive</x:v>
      </x:c>
      <x:c r="D66" t="n">
        <x:v>10</x:v>
      </x:c>
      <x:c r="E66" s="32" t="n">
        <x:v>298331</x:v>
      </x:c>
      <x:c r="F66" s="32" t="n">
        <x:v>353901.712</x:v>
      </x:c>
      <x:c r="G66" t="n">
        <x:v>45</x:v>
      </x:c>
    </x:row>
    <x:row r="67">
      <x:c r="A67" t="str">
        <x:v>C11</x:v>
      </x:c>
      <x:c r="B67" t="str">
        <x:v>881ec915bdfffff</x:v>
      </x:c>
      <x:c r="C67" t="str">
        <x:v>drive</x:v>
      </x:c>
      <x:c r="D67" t="n">
        <x:v>15</x:v>
      </x:c>
      <x:c r="E67" s="32" t="n">
        <x:v>562905</x:v>
      </x:c>
      <x:c r="F67" s="32" t="n">
        <x:v>663416.878</x:v>
      </x:c>
      <x:c r="G67" t="n">
        <x:v>85</x:v>
      </x:c>
    </x:row>
    <x:row r="68">
      <x:c r="A68" t="str">
        <x:v>C11</x:v>
      </x:c>
      <x:c r="B68" t="str">
        <x:v>881ec915bdfffff</x:v>
      </x:c>
      <x:c r="C68" t="str">
        <x:v>walk</x:v>
      </x:c>
      <x:c r="D68" t="n">
        <x:v>5</x:v>
      </x:c>
      <x:c r="E68" s="32" t="n">
        <x:v>6452</x:v>
      </x:c>
      <x:c r="F68" s="32" t="n">
        <x:v>7577.995</x:v>
      </x:c>
      <x:c r="G68" t="n">
        <x:v>1</x:v>
      </x:c>
    </x:row>
    <x:row r="69">
      <x:c r="A69" t="str">
        <x:v>C11</x:v>
      </x:c>
      <x:c r="B69" t="str">
        <x:v>881ec915bdfffff</x:v>
      </x:c>
      <x:c r="C69" t="str">
        <x:v>walk</x:v>
      </x:c>
      <x:c r="D69" t="n">
        <x:v>10</x:v>
      </x:c>
      <x:c r="E69" s="32" t="n">
        <x:v>6452</x:v>
      </x:c>
      <x:c r="F69" s="32" t="n">
        <x:v>7577.995</x:v>
      </x:c>
      <x:c r="G69" t="n">
        <x:v>1</x:v>
      </x:c>
    </x:row>
    <x:row r="70">
      <x:c r="A70" t="str">
        <x:v>C11</x:v>
      </x:c>
      <x:c r="B70" t="str">
        <x:v>881ec915bdfffff</x:v>
      </x:c>
      <x:c r="C70" t="str">
        <x:v>walk</x:v>
      </x:c>
      <x:c r="D70" t="n">
        <x:v>15</x:v>
      </x:c>
      <x:c r="E70" s="32" t="n">
        <x:v>46123</x:v>
      </x:c>
      <x:c r="F70" s="32" t="n">
        <x:v>54875.978</x:v>
      </x:c>
      <x:c r="G70" t="n">
        <x:v>7</x:v>
      </x:c>
    </x:row>
    <x:row r="71">
      <x:c r="A71" t="str">
        <x:v>C12</x:v>
      </x:c>
      <x:c r="B71" t="str">
        <x:v>881ec915c1fffff</x:v>
      </x:c>
      <x:c r="C71" t="str">
        <x:v>drive</x:v>
      </x:c>
      <x:c r="D71" t="n">
        <x:v>5</x:v>
      </x:c>
      <x:c r="E71" s="32" t="n">
        <x:v>67094</x:v>
      </x:c>
      <x:c r="F71" s="32" t="n">
        <x:v>81528.355</x:v>
      </x:c>
      <x:c r="G71" t="n">
        <x:v>10</x:v>
      </x:c>
    </x:row>
    <x:row r="72">
      <x:c r="A72" t="str">
        <x:v>C12</x:v>
      </x:c>
      <x:c r="B72" t="str">
        <x:v>881ec915c1fffff</x:v>
      </x:c>
      <x:c r="C72" t="str">
        <x:v>drive</x:v>
      </x:c>
      <x:c r="D72" t="n">
        <x:v>10</x:v>
      </x:c>
      <x:c r="E72" s="32" t="n">
        <x:v>205309</x:v>
      </x:c>
      <x:c r="F72" s="32" t="n">
        <x:v>246934.475</x:v>
      </x:c>
      <x:c r="G72" t="n">
        <x:v>31</x:v>
      </x:c>
    </x:row>
    <x:row r="73">
      <x:c r="A73" t="str">
        <x:v>C12</x:v>
      </x:c>
      <x:c r="B73" t="str">
        <x:v>881ec915c1fffff</x:v>
      </x:c>
      <x:c r="C73" t="str">
        <x:v>drive</x:v>
      </x:c>
      <x:c r="D73" t="n">
        <x:v>15</x:v>
      </x:c>
      <x:c r="E73" s="32" t="n">
        <x:v>423869</x:v>
      </x:c>
      <x:c r="F73" s="32" t="n">
        <x:v>507279.906</x:v>
      </x:c>
      <x:c r="G73" t="n">
        <x:v>64</x:v>
      </x:c>
    </x:row>
    <x:row r="74">
      <x:c r="A74" t="str">
        <x:v>C12</x:v>
      </x:c>
      <x:c r="B74" t="str">
        <x:v>881ec915c1fffff</x:v>
      </x:c>
      <x:c r="C74" t="str">
        <x:v>walk</x:v>
      </x:c>
      <x:c r="D74" t="n">
        <x:v>5</x:v>
      </x:c>
      <x:c r="E74" s="32" t="n">
        <x:v>6452</x:v>
      </x:c>
      <x:c r="F74" s="32" t="n">
        <x:v>7708.895</x:v>
      </x:c>
      <x:c r="G74" t="n">
        <x:v>1</x:v>
      </x:c>
    </x:row>
    <x:row r="75">
      <x:c r="A75" t="str">
        <x:v>C12</x:v>
      </x:c>
      <x:c r="B75" t="str">
        <x:v>881ec915c1fffff</x:v>
      </x:c>
      <x:c r="C75" t="str">
        <x:v>walk</x:v>
      </x:c>
      <x:c r="D75" t="n">
        <x:v>10</x:v>
      </x:c>
      <x:c r="E75" s="32" t="n">
        <x:v>6452</x:v>
      </x:c>
      <x:c r="F75" s="32" t="n">
        <x:v>7708.895</x:v>
      </x:c>
      <x:c r="G75" t="n">
        <x:v>1</x:v>
      </x:c>
    </x:row>
    <x:row r="76">
      <x:c r="A76" t="str">
        <x:v>C12</x:v>
      </x:c>
      <x:c r="B76" t="str">
        <x:v>881ec915c1fffff</x:v>
      </x:c>
      <x:c r="C76" t="str">
        <x:v>walk</x:v>
      </x:c>
      <x:c r="D76" t="n">
        <x:v>15</x:v>
      </x:c>
      <x:c r="E76" s="32" t="n">
        <x:v>26264</x:v>
      </x:c>
      <x:c r="F76" s="32" t="n">
        <x:v>31574.629</x:v>
      </x:c>
      <x:c r="G76" t="n">
        <x:v>4</x:v>
      </x:c>
    </x:row>
    <x:row r="77">
      <x:c r="A77" t="str">
        <x:v>C13</x:v>
      </x:c>
      <x:c r="B77" t="str">
        <x:v>881ec90735fffff</x:v>
      </x:c>
      <x:c r="C77" t="str">
        <x:v>drive</x:v>
      </x:c>
      <x:c r="D77" t="n">
        <x:v>5</x:v>
      </x:c>
      <x:c r="E77" s="32" t="n">
        <x:v>112913</x:v>
      </x:c>
      <x:c r="F77" s="32" t="n">
        <x:v>130625.372</x:v>
      </x:c>
      <x:c r="G77" t="n">
        <x:v>17</x:v>
      </x:c>
    </x:row>
    <x:row r="78">
      <x:c r="A78" t="str">
        <x:v>C13</x:v>
      </x:c>
      <x:c r="B78" t="str">
        <x:v>881ec90735fffff</x:v>
      </x:c>
      <x:c r="C78" t="str">
        <x:v>drive</x:v>
      </x:c>
      <x:c r="D78" t="n">
        <x:v>10</x:v>
      </x:c>
      <x:c r="E78" s="32" t="n">
        <x:v>339585</x:v>
      </x:c>
      <x:c r="F78" s="32" t="n">
        <x:v>392237.266</x:v>
      </x:c>
      <x:c r="G78" t="n">
        <x:v>51</x:v>
      </x:c>
    </x:row>
    <x:row r="79">
      <x:c r="A79" t="str">
        <x:v>C13</x:v>
      </x:c>
      <x:c r="B79" t="str">
        <x:v>881ec90735fffff</x:v>
      </x:c>
      <x:c r="C79" t="str">
        <x:v>drive</x:v>
      </x:c>
      <x:c r="D79" t="n">
        <x:v>15</x:v>
      </x:c>
      <x:c r="E79" s="32" t="n">
        <x:v>638008</x:v>
      </x:c>
      <x:c r="F79" s="32" t="n">
        <x:v>733329.275</x:v>
      </x:c>
      <x:c r="G79" t="n">
        <x:v>96</x:v>
      </x:c>
    </x:row>
    <x:row r="80">
      <x:c r="A80" t="str">
        <x:v>C13</x:v>
      </x:c>
      <x:c r="B80" t="str">
        <x:v>881ec90735fffff</x:v>
      </x:c>
      <x:c r="C80" t="str">
        <x:v>walk</x:v>
      </x:c>
      <x:c r="D80" t="n">
        <x:v>5</x:v>
      </x:c>
      <x:c r="E80" s="32" t="n">
        <x:v>6770</x:v>
      </x:c>
      <x:c r="F80" s="32" t="n">
        <x:v>7897.345</x:v>
      </x:c>
      <x:c r="G80" t="n">
        <x:v>1</x:v>
      </x:c>
    </x:row>
    <x:row r="81">
      <x:c r="A81" t="str">
        <x:v>C13</x:v>
      </x:c>
      <x:c r="B81" t="str">
        <x:v>881ec90735fffff</x:v>
      </x:c>
      <x:c r="C81" t="str">
        <x:v>walk</x:v>
      </x:c>
      <x:c r="D81" t="n">
        <x:v>10</x:v>
      </x:c>
      <x:c r="E81" s="32" t="n">
        <x:v>6770</x:v>
      </x:c>
      <x:c r="F81" s="32" t="n">
        <x:v>7897.345</x:v>
      </x:c>
      <x:c r="G81" t="n">
        <x:v>1</x:v>
      </x:c>
    </x:row>
    <x:row r="82">
      <x:c r="A82" t="str">
        <x:v>C13</x:v>
      </x:c>
      <x:c r="B82" t="str">
        <x:v>881ec90735fffff</x:v>
      </x:c>
      <x:c r="C82" t="str">
        <x:v>walk</x:v>
      </x:c>
      <x:c r="D82" t="n">
        <x:v>15</x:v>
      </x:c>
      <x:c r="E82" s="32" t="n">
        <x:v>46038</x:v>
      </x:c>
      <x:c r="F82" s="32" t="n">
        <x:v>53012.911</x:v>
      </x:c>
      <x:c r="G82" t="n">
        <x:v>7</x:v>
      </x:c>
    </x:row>
    <x:row r="83">
      <x:c r="A83" t="str">
        <x:v>C14</x:v>
      </x:c>
      <x:c r="B83" t="str">
        <x:v>881ec90421fffff</x:v>
      </x:c>
      <x:c r="C83" t="str">
        <x:v>drive</x:v>
      </x:c>
      <x:c r="D83" t="n">
        <x:v>5</x:v>
      </x:c>
      <x:c r="E83" s="32" t="n">
        <x:v>106788</x:v>
      </x:c>
      <x:c r="F83" s="32" t="n">
        <x:v>119908.143</x:v>
      </x:c>
      <x:c r="G83" t="n">
        <x:v>16</x:v>
      </x:c>
    </x:row>
    <x:row r="84">
      <x:c r="A84" t="str">
        <x:v>C14</x:v>
      </x:c>
      <x:c r="B84" t="str">
        <x:v>881ec90421fffff</x:v>
      </x:c>
      <x:c r="C84" t="str">
        <x:v>drive</x:v>
      </x:c>
      <x:c r="D84" t="n">
        <x:v>10</x:v>
      </x:c>
      <x:c r="E84" s="32" t="n">
        <x:v>379342</x:v>
      </x:c>
      <x:c r="F84" s="32" t="n">
        <x:v>425913.978</x:v>
      </x:c>
      <x:c r="G84" t="n">
        <x:v>57</x:v>
      </x:c>
    </x:row>
    <x:row r="85">
      <x:c r="A85" t="str">
        <x:v>C14</x:v>
      </x:c>
      <x:c r="B85" t="str">
        <x:v>881ec90421fffff</x:v>
      </x:c>
      <x:c r="C85" t="str">
        <x:v>drive</x:v>
      </x:c>
      <x:c r="D85" t="n">
        <x:v>15</x:v>
      </x:c>
      <x:c r="E85" s="32" t="n">
        <x:v>808991</x:v>
      </x:c>
      <x:c r="F85" s="32" t="n">
        <x:v>907190.058</x:v>
      </x:c>
      <x:c r="G85" t="n">
        <x:v>122</x:v>
      </x:c>
    </x:row>
    <x:row r="86">
      <x:c r="A86" t="str">
        <x:v>C14</x:v>
      </x:c>
      <x:c r="B86" t="str">
        <x:v>881ec90421fffff</x:v>
      </x:c>
      <x:c r="C86" t="str">
        <x:v>walk</x:v>
      </x:c>
      <x:c r="D86" t="n">
        <x:v>5</x:v>
      </x:c>
      <x:c r="E86" s="32" t="n">
        <x:v>6958</x:v>
      </x:c>
      <x:c r="F86" s="32" t="n">
        <x:v>7957.199</x:v>
      </x:c>
      <x:c r="G86" t="n">
        <x:v>1</x:v>
      </x:c>
    </x:row>
    <x:row r="87">
      <x:c r="A87" t="str">
        <x:v>C14</x:v>
      </x:c>
      <x:c r="B87" t="str">
        <x:v>881ec90421fffff</x:v>
      </x:c>
      <x:c r="C87" t="str">
        <x:v>walk</x:v>
      </x:c>
      <x:c r="D87" t="n">
        <x:v>10</x:v>
      </x:c>
      <x:c r="E87" s="32" t="n">
        <x:v>6958</x:v>
      </x:c>
      <x:c r="F87" s="32" t="n">
        <x:v>7957.199</x:v>
      </x:c>
      <x:c r="G87" t="n">
        <x:v>1</x:v>
      </x:c>
    </x:row>
    <x:row r="88">
      <x:c r="A88" t="str">
        <x:v>C14</x:v>
      </x:c>
      <x:c r="B88" t="str">
        <x:v>881ec90421fffff</x:v>
      </x:c>
      <x:c r="C88" t="str">
        <x:v>walk</x:v>
      </x:c>
      <x:c r="D88" t="n">
        <x:v>15</x:v>
      </x:c>
      <x:c r="E88" s="32" t="n">
        <x:v>47447</x:v>
      </x:c>
      <x:c r="F88" s="32" t="n">
        <x:v>53649.386</x:v>
      </x:c>
      <x:c r="G88" t="n">
        <x:v>7</x:v>
      </x:c>
    </x:row>
    <x:row r="89">
      <x:c r="A89" t="str">
        <x:v>C15</x:v>
      </x:c>
      <x:c r="B89" t="str">
        <x:v>881ec905d1fffff</x:v>
      </x:c>
      <x:c r="C89" t="str">
        <x:v>drive</x:v>
      </x:c>
      <x:c r="D89" t="n">
        <x:v>5</x:v>
      </x:c>
      <x:c r="E89" s="32" t="n">
        <x:v>79479</x:v>
      </x:c>
      <x:c r="F89" s="32" t="n">
        <x:v>87238.537</x:v>
      </x:c>
      <x:c r="G89" t="n">
        <x:v>12</x:v>
      </x:c>
    </x:row>
    <x:row r="90">
      <x:c r="A90" t="str">
        <x:v>C15</x:v>
      </x:c>
      <x:c r="B90" t="str">
        <x:v>881ec905d1fffff</x:v>
      </x:c>
      <x:c r="C90" t="str">
        <x:v>drive</x:v>
      </x:c>
      <x:c r="D90" t="n">
        <x:v>10</x:v>
      </x:c>
      <x:c r="E90" s="32" t="n">
        <x:v>345124</x:v>
      </x:c>
      <x:c r="F90" s="32" t="n">
        <x:v>380003.04</x:v>
      </x:c>
      <x:c r="G90" t="n">
        <x:v>52</x:v>
      </x:c>
    </x:row>
    <x:row r="91">
      <x:c r="A91" t="str">
        <x:v>C15</x:v>
      </x:c>
      <x:c r="B91" t="str">
        <x:v>881ec905d1fffff</x:v>
      </x:c>
      <x:c r="C91" t="str">
        <x:v>drive</x:v>
      </x:c>
      <x:c r="D91" t="n">
        <x:v>15</x:v>
      </x:c>
      <x:c r="E91" s="32" t="n">
        <x:v>794141</x:v>
      </x:c>
      <x:c r="F91" s="32" t="n">
        <x:v>875502.823</x:v>
      </x:c>
      <x:c r="G91" t="n">
        <x:v>123</x:v>
      </x:c>
    </x:row>
    <x:row r="92">
      <x:c r="A92" t="str">
        <x:v>C15</x:v>
      </x:c>
      <x:c r="B92" t="str">
        <x:v>881ec905d1fffff</x:v>
      </x:c>
      <x:c r="C92" t="str">
        <x:v>walk</x:v>
      </x:c>
      <x:c r="D92" t="n">
        <x:v>5</x:v>
      </x:c>
      <x:c r="E92" s="32" t="n">
        <x:v>6763</x:v>
      </x:c>
      <x:c r="F92" s="32" t="n">
        <x:v>7504.185</x:v>
      </x:c>
      <x:c r="G92" t="n">
        <x:v>1</x:v>
      </x:c>
    </x:row>
    <x:row r="93">
      <x:c r="A93" t="str">
        <x:v>C15</x:v>
      </x:c>
      <x:c r="B93" t="str">
        <x:v>881ec905d1fffff</x:v>
      </x:c>
      <x:c r="C93" t="str">
        <x:v>walk</x:v>
      </x:c>
      <x:c r="D93" t="n">
        <x:v>10</x:v>
      </x:c>
      <x:c r="E93" s="32" t="n">
        <x:v>6763</x:v>
      </x:c>
      <x:c r="F93" s="32" t="n">
        <x:v>7504.185</x:v>
      </x:c>
      <x:c r="G93" t="n">
        <x:v>1</x:v>
      </x:c>
    </x:row>
    <x:row r="94">
      <x:c r="A94" t="str">
        <x:v>C15</x:v>
      </x:c>
      <x:c r="B94" t="str">
        <x:v>881ec905d1fffff</x:v>
      </x:c>
      <x:c r="C94" t="str">
        <x:v>walk</x:v>
      </x:c>
      <x:c r="D94" t="n">
        <x:v>15</x:v>
      </x:c>
      <x:c r="E94" s="32" t="n">
        <x:v>46965</x:v>
      </x:c>
      <x:c r="F94" s="32" t="n">
        <x:v>51951.925</x:v>
      </x:c>
      <x:c r="G94" t="n">
        <x:v>7</x:v>
      </x:c>
    </x:row>
    <x:row r="95">
      <x:c r="A95" t="str">
        <x:v>C16</x:v>
      </x:c>
      <x:c r="B95" t="str">
        <x:v>881ec914a9fffff</x:v>
      </x:c>
      <x:c r="C95" t="str">
        <x:v>drive</x:v>
      </x:c>
      <x:c r="D95" t="n">
        <x:v>5</x:v>
      </x:c>
      <x:c r="E95" s="32" t="n">
        <x:v>119402</x:v>
      </x:c>
      <x:c r="F95" s="32" t="n">
        <x:v>140280.654</x:v>
      </x:c>
      <x:c r="G95" t="n">
        <x:v>18</x:v>
      </x:c>
    </x:row>
    <x:row r="96">
      <x:c r="A96" t="str">
        <x:v>C16</x:v>
      </x:c>
      <x:c r="B96" t="str">
        <x:v>881ec914a9fffff</x:v>
      </x:c>
      <x:c r="C96" t="str">
        <x:v>drive</x:v>
      </x:c>
      <x:c r="D96" t="n">
        <x:v>10</x:v>
      </x:c>
      <x:c r="E96" s="32" t="n">
        <x:v>404863</x:v>
      </x:c>
      <x:c r="F96" s="32" t="n">
        <x:v>475892.246</x:v>
      </x:c>
      <x:c r="G96" t="n">
        <x:v>61</x:v>
      </x:c>
    </x:row>
    <x:row r="97">
      <x:c r="A97" t="str">
        <x:v>C16</x:v>
      </x:c>
      <x:c r="B97" t="str">
        <x:v>881ec914a9fffff</x:v>
      </x:c>
      <x:c r="C97" t="str">
        <x:v>drive</x:v>
      </x:c>
      <x:c r="D97" t="n">
        <x:v>15</x:v>
      </x:c>
      <x:c r="E97" s="32" t="n">
        <x:v>823938</x:v>
      </x:c>
      <x:c r="F97" s="32" t="n">
        <x:v>967343.678</x:v>
      </x:c>
      <x:c r="G97" t="n">
        <x:v>124</x:v>
      </x:c>
    </x:row>
    <x:row r="98">
      <x:c r="A98" t="str">
        <x:v>C16</x:v>
      </x:c>
      <x:c r="B98" t="str">
        <x:v>881ec914a9fffff</x:v>
      </x:c>
      <x:c r="C98" t="str">
        <x:v>walk</x:v>
      </x:c>
      <x:c r="D98" t="n">
        <x:v>5</x:v>
      </x:c>
      <x:c r="E98" s="32" t="n">
        <x:v>6554</x:v>
      </x:c>
      <x:c r="F98" s="32" t="n">
        <x:v>7681.982</x:v>
      </x:c>
      <x:c r="G98" t="n">
        <x:v>1</x:v>
      </x:c>
    </x:row>
    <x:row r="99">
      <x:c r="A99" t="str">
        <x:v>C16</x:v>
      </x:c>
      <x:c r="B99" t="str">
        <x:v>881ec914a9fffff</x:v>
      </x:c>
      <x:c r="C99" t="str">
        <x:v>walk</x:v>
      </x:c>
      <x:c r="D99" t="n">
        <x:v>10</x:v>
      </x:c>
      <x:c r="E99" s="32" t="n">
        <x:v>6554</x:v>
      </x:c>
      <x:c r="F99" s="32" t="n">
        <x:v>7681.982</x:v>
      </x:c>
      <x:c r="G99" t="n">
        <x:v>1</x:v>
      </x:c>
    </x:row>
    <x:row r="100">
      <x:c r="A100" t="str">
        <x:v>C16</x:v>
      </x:c>
      <x:c r="B100" t="str">
        <x:v>881ec914a9fffff</x:v>
      </x:c>
      <x:c r="C100" t="str">
        <x:v>walk</x:v>
      </x:c>
      <x:c r="D100" t="n">
        <x:v>15</x:v>
      </x:c>
      <x:c r="E100" s="32" t="n">
        <x:v>46814</x:v>
      </x:c>
      <x:c r="F100" s="32" t="n">
        <x:v>55226.397</x:v>
      </x:c>
      <x:c r="G100" t="n">
        <x:v>7</x:v>
      </x:c>
    </x:row>
    <x:row r="101">
      <x:c r="A101" t="str">
        <x:v>C17</x:v>
      </x:c>
      <x:c r="B101" t="str">
        <x:v>881ec9065bfffff</x:v>
      </x:c>
      <x:c r="C101" t="str">
        <x:v>drive</x:v>
      </x:c>
      <x:c r="D101" t="n">
        <x:v>5</x:v>
      </x:c>
      <x:c r="E101" s="32" t="n">
        <x:v>119008</x:v>
      </x:c>
      <x:c r="F101" s="32" t="n">
        <x:v>133791.241</x:v>
      </x:c>
      <x:c r="G101" t="n">
        <x:v>18</x:v>
      </x:c>
    </x:row>
    <x:row r="102">
      <x:c r="A102" t="str">
        <x:v>C17</x:v>
      </x:c>
      <x:c r="B102" t="str">
        <x:v>881ec9065bfffff</x:v>
      </x:c>
      <x:c r="C102" t="str">
        <x:v>drive</x:v>
      </x:c>
      <x:c r="D102" t="n">
        <x:v>10</x:v>
      </x:c>
      <x:c r="E102" s="32" t="n">
        <x:v>397428</x:v>
      </x:c>
      <x:c r="F102" s="32" t="n">
        <x:v>447400.418</x:v>
      </x:c>
      <x:c r="G102" t="n">
        <x:v>60</x:v>
      </x:c>
    </x:row>
    <x:row r="103">
      <x:c r="A103" t="str">
        <x:v>C17</x:v>
      </x:c>
      <x:c r="B103" t="str">
        <x:v>881ec9065bfffff</x:v>
      </x:c>
      <x:c r="C103" t="str">
        <x:v>drive</x:v>
      </x:c>
      <x:c r="D103" t="n">
        <x:v>15</x:v>
      </x:c>
      <x:c r="E103" s="32" t="n">
        <x:v>818199</x:v>
      </x:c>
      <x:c r="F103" s="32" t="n">
        <x:v>923809.619</x:v>
      </x:c>
      <x:c r="G103" t="n">
        <x:v>125</x:v>
      </x:c>
    </x:row>
    <x:row r="104">
      <x:c r="A104" t="str">
        <x:v>C17</x:v>
      </x:c>
      <x:c r="B104" t="str">
        <x:v>881ec9065bfffff</x:v>
      </x:c>
      <x:c r="C104" t="str">
        <x:v>walk</x:v>
      </x:c>
      <x:c r="D104" t="n">
        <x:v>5</x:v>
      </x:c>
      <x:c r="E104" s="32" t="n">
        <x:v>6452</x:v>
      </x:c>
      <x:c r="F104" s="32" t="n">
        <x:v>7098.733</x:v>
      </x:c>
      <x:c r="G104" t="n">
        <x:v>1</x:v>
      </x:c>
    </x:row>
    <x:row r="105">
      <x:c r="A105" t="str">
        <x:v>C17</x:v>
      </x:c>
      <x:c r="B105" t="str">
        <x:v>881ec9065bfffff</x:v>
      </x:c>
      <x:c r="C105" t="str">
        <x:v>walk</x:v>
      </x:c>
      <x:c r="D105" t="n">
        <x:v>10</x:v>
      </x:c>
      <x:c r="E105" s="32" t="n">
        <x:v>6452</x:v>
      </x:c>
      <x:c r="F105" s="32" t="n">
        <x:v>7098.733</x:v>
      </x:c>
      <x:c r="G105" t="n">
        <x:v>1</x:v>
      </x:c>
    </x:row>
    <x:row r="106">
      <x:c r="A106" t="str">
        <x:v>C17</x:v>
      </x:c>
      <x:c r="B106" t="str">
        <x:v>881ec9065bfffff</x:v>
      </x:c>
      <x:c r="C106" t="str">
        <x:v>walk</x:v>
      </x:c>
      <x:c r="D106" t="n">
        <x:v>15</x:v>
      </x:c>
      <x:c r="E106" s="32" t="n">
        <x:v>46041</x:v>
      </x:c>
      <x:c r="F106" s="32" t="n">
        <x:v>51581.501</x:v>
      </x:c>
      <x:c r="G106" t="n">
        <x:v>7</x:v>
      </x:c>
    </x:row>
    <x:row r="107">
      <x:c r="A107" t="str">
        <x:v>C18</x:v>
      </x:c>
      <x:c r="B107" t="str">
        <x:v>881ec906c3fffff</x:v>
      </x:c>
      <x:c r="C107" t="str">
        <x:v>drive</x:v>
      </x:c>
      <x:c r="D107" t="n">
        <x:v>5</x:v>
      </x:c>
      <x:c r="E107" s="32" t="n">
        <x:v>92521</x:v>
      </x:c>
      <x:c r="F107" s="32" t="n">
        <x:v>101585.565</x:v>
      </x:c>
      <x:c r="G107" t="n">
        <x:v>14</x:v>
      </x:c>
    </x:row>
    <x:row r="108">
      <x:c r="A108" t="str">
        <x:v>C18</x:v>
      </x:c>
      <x:c r="B108" t="str">
        <x:v>881ec906c3fffff</x:v>
      </x:c>
      <x:c r="C108" t="str">
        <x:v>drive</x:v>
      </x:c>
      <x:c r="D108" t="n">
        <x:v>10</x:v>
      </x:c>
      <x:c r="E108" s="32" t="n">
        <x:v>379553</x:v>
      </x:c>
      <x:c r="F108" s="32" t="n">
        <x:v>416699.094</x:v>
      </x:c>
      <x:c r="G108" t="n">
        <x:v>60</x:v>
      </x:c>
    </x:row>
    <x:row r="109">
      <x:c r="A109" t="str">
        <x:v>C18</x:v>
      </x:c>
      <x:c r="B109" t="str">
        <x:v>881ec906c3fffff</x:v>
      </x:c>
      <x:c r="C109" t="str">
        <x:v>drive</x:v>
      </x:c>
      <x:c r="D109" t="n">
        <x:v>15</x:v>
      </x:c>
      <x:c r="E109" s="32" t="n">
        <x:v>762107</x:v>
      </x:c>
      <x:c r="F109" s="32" t="n">
        <x:v>838855.75</x:v>
      </x:c>
      <x:c r="G109" t="n">
        <x:v>127</x:v>
      </x:c>
    </x:row>
    <x:row r="110">
      <x:c r="A110" t="str">
        <x:v>C18</x:v>
      </x:c>
      <x:c r="B110" t="str">
        <x:v>881ec906c3fffff</x:v>
      </x:c>
      <x:c r="C110" t="str">
        <x:v>walk</x:v>
      </x:c>
      <x:c r="D110" t="n">
        <x:v>5</x:v>
      </x:c>
      <x:c r="E110" s="32" t="n">
        <x:v>6690</x:v>
      </x:c>
      <x:c r="F110" s="32" t="n">
        <x:v>7383.335</x:v>
      </x:c>
      <x:c r="G110" t="n">
        <x:v>1</x:v>
      </x:c>
    </x:row>
    <x:row r="111">
      <x:c r="A111" t="str">
        <x:v>C18</x:v>
      </x:c>
      <x:c r="B111" t="str">
        <x:v>881ec906c3fffff</x:v>
      </x:c>
      <x:c r="C111" t="str">
        <x:v>walk</x:v>
      </x:c>
      <x:c r="D111" t="n">
        <x:v>10</x:v>
      </x:c>
      <x:c r="E111" s="32" t="n">
        <x:v>6690</x:v>
      </x:c>
      <x:c r="F111" s="32" t="n">
        <x:v>7383.335</x:v>
      </x:c>
      <x:c r="G111" t="n">
        <x:v>1</x:v>
      </x:c>
    </x:row>
    <x:row r="112">
      <x:c r="A112" t="str">
        <x:v>C18</x:v>
      </x:c>
      <x:c r="B112" t="str">
        <x:v>881ec906c3fffff</x:v>
      </x:c>
      <x:c r="C112" t="str">
        <x:v>walk</x:v>
      </x:c>
      <x:c r="D112" t="n">
        <x:v>15</x:v>
      </x:c>
      <x:c r="E112" s="32" t="n">
        <x:v>46806</x:v>
      </x:c>
      <x:c r="F112" s="32" t="n">
        <x:v>51621.089</x:v>
      </x:c>
      <x:c r="G112" t="n">
        <x:v>7</x:v>
      </x:c>
    </x:row>
    <x:row r="113">
      <x:c r="A113" t="str">
        <x:v>C19</x:v>
      </x:c>
      <x:c r="B113" t="str">
        <x:v>881ec93a15fffff</x:v>
      </x:c>
      <x:c r="C113" t="str">
        <x:v>drive</x:v>
      </x:c>
      <x:c r="D113" t="n">
        <x:v>5</x:v>
      </x:c>
      <x:c r="E113" s="32" t="n">
        <x:v>53340</x:v>
      </x:c>
      <x:c r="F113" s="32" t="n">
        <x:v>57683.829</x:v>
      </x:c>
      <x:c r="G113" t="n">
        <x:v>19</x:v>
      </x:c>
    </x:row>
    <x:row r="114">
      <x:c r="A114" t="str">
        <x:v>C19</x:v>
      </x:c>
      <x:c r="B114" t="str">
        <x:v>881ec93a15fffff</x:v>
      </x:c>
      <x:c r="C114" t="str">
        <x:v>drive</x:v>
      </x:c>
      <x:c r="D114" t="n">
        <x:v>10</x:v>
      </x:c>
      <x:c r="E114" s="32" t="n">
        <x:v>176514</x:v>
      </x:c>
      <x:c r="F114" s="32" t="n">
        <x:v>190591.984</x:v>
      </x:c>
      <x:c r="G114" t="n">
        <x:v>66</x:v>
      </x:c>
    </x:row>
    <x:row r="115">
      <x:c r="A115" t="str">
        <x:v>C19</x:v>
      </x:c>
      <x:c r="B115" t="str">
        <x:v>881ec93a15fffff</x:v>
      </x:c>
      <x:c r="C115" t="str">
        <x:v>drive</x:v>
      </x:c>
      <x:c r="D115" t="n">
        <x:v>15</x:v>
      </x:c>
      <x:c r="E115" s="32" t="n">
        <x:v>389754</x:v>
      </x:c>
      <x:c r="F115" s="32" t="n">
        <x:v>422664.041</x:v>
      </x:c>
      <x:c r="G115" t="n">
        <x:v>134</x:v>
      </x:c>
    </x:row>
    <x:row r="116">
      <x:c r="A116" t="str">
        <x:v>C19</x:v>
      </x:c>
      <x:c r="B116" t="str">
        <x:v>881ec93a15fffff</x:v>
      </x:c>
      <x:c r="C116" t="str">
        <x:v>walk</x:v>
      </x:c>
      <x:c r="D116" t="n">
        <x:v>5</x:v>
      </x:c>
      <x:c r="E116" s="32" t="n">
        <x:v>2570</x:v>
      </x:c>
      <x:c r="F116" s="32" t="n">
        <x:v>2742.793</x:v>
      </x:c>
      <x:c r="G116" t="n">
        <x:v>1</x:v>
      </x:c>
    </x:row>
    <x:row r="117">
      <x:c r="A117" t="str">
        <x:v>C19</x:v>
      </x:c>
      <x:c r="B117" t="str">
        <x:v>881ec93a15fffff</x:v>
      </x:c>
      <x:c r="C117" t="str">
        <x:v>walk</x:v>
      </x:c>
      <x:c r="D117" t="n">
        <x:v>10</x:v>
      </x:c>
      <x:c r="E117" s="32" t="n">
        <x:v>2570</x:v>
      </x:c>
      <x:c r="F117" s="32" t="n">
        <x:v>2742.793</x:v>
      </x:c>
      <x:c r="G117" t="n">
        <x:v>1</x:v>
      </x:c>
    </x:row>
    <x:row r="118">
      <x:c r="A118" t="str">
        <x:v>C19</x:v>
      </x:c>
      <x:c r="B118" t="str">
        <x:v>881ec93a15fffff</x:v>
      </x:c>
      <x:c r="C118" t="str">
        <x:v>walk</x:v>
      </x:c>
      <x:c r="D118" t="n">
        <x:v>15</x:v>
      </x:c>
      <x:c r="E118" s="32" t="n">
        <x:v>19718</x:v>
      </x:c>
      <x:c r="F118" s="32" t="n">
        <x:v>21345.886</x:v>
      </x:c>
      <x:c r="G118" t="n">
        <x:v>7</x:v>
      </x:c>
    </x:row>
    <x:row r="119">
      <x:c r="A119" t="str">
        <x:v>C20</x:v>
      </x:c>
      <x:c r="B119" t="str">
        <x:v>881ec9ce17fffff</x:v>
      </x:c>
      <x:c r="C119" t="str">
        <x:v>drive</x:v>
      </x:c>
      <x:c r="D119" t="n">
        <x:v>5</x:v>
      </x:c>
      <x:c r="E119" s="32" t="n">
        <x:v>92408</x:v>
      </x:c>
      <x:c r="F119" s="32" t="n">
        <x:v>101633.656</x:v>
      </x:c>
      <x:c r="G119" t="n">
        <x:v>19</x:v>
      </x:c>
    </x:row>
    <x:row r="120">
      <x:c r="A120" t="str">
        <x:v>C20</x:v>
      </x:c>
      <x:c r="B120" t="str">
        <x:v>881ec9ce17fffff</x:v>
      </x:c>
      <x:c r="C120" t="str">
        <x:v>drive</x:v>
      </x:c>
      <x:c r="D120" t="n">
        <x:v>10</x:v>
      </x:c>
      <x:c r="E120" s="32" t="n">
        <x:v>286548</x:v>
      </x:c>
      <x:c r="F120" s="32" t="n">
        <x:v>314159.65</x:v>
      </x:c>
      <x:c r="G120" t="n">
        <x:v>61</x:v>
      </x:c>
    </x:row>
    <x:row r="121">
      <x:c r="A121" t="str">
        <x:v>C20</x:v>
      </x:c>
      <x:c r="B121" t="str">
        <x:v>881ec9ce17fffff</x:v>
      </x:c>
      <x:c r="C121" t="str">
        <x:v>drive</x:v>
      </x:c>
      <x:c r="D121" t="n">
        <x:v>15</x:v>
      </x:c>
      <x:c r="E121" s="32" t="n">
        <x:v>589564</x:v>
      </x:c>
      <x:c r="F121" s="32" t="n">
        <x:v>645660.957</x:v>
      </x:c>
      <x:c r="G121" t="n">
        <x:v>143</x:v>
      </x:c>
    </x:row>
    <x:row r="122">
      <x:c r="A122" t="str">
        <x:v>C20</x:v>
      </x:c>
      <x:c r="B122" t="str">
        <x:v>881ec9ce17fffff</x:v>
      </x:c>
      <x:c r="C122" t="str">
        <x:v>walk</x:v>
      </x:c>
      <x:c r="D122" t="n">
        <x:v>5</x:v>
      </x:c>
      <x:c r="E122" s="32" t="n">
        <x:v>4716</x:v>
      </x:c>
      <x:c r="F122" s="32" t="n">
        <x:v>5123.471</x:v>
      </x:c>
      <x:c r="G122" t="n">
        <x:v>1</x:v>
      </x:c>
    </x:row>
    <x:row r="123">
      <x:c r="A123" t="str">
        <x:v>C20</x:v>
      </x:c>
      <x:c r="B123" t="str">
        <x:v>881ec9ce17fffff</x:v>
      </x:c>
      <x:c r="C123" t="str">
        <x:v>walk</x:v>
      </x:c>
      <x:c r="D123" t="n">
        <x:v>10</x:v>
      </x:c>
      <x:c r="E123" s="32" t="n">
        <x:v>4716</x:v>
      </x:c>
      <x:c r="F123" s="32" t="n">
        <x:v>5123.471</x:v>
      </x:c>
      <x:c r="G123" t="n">
        <x:v>1</x:v>
      </x:c>
    </x:row>
    <x:row r="124">
      <x:c r="A124" t="str">
        <x:v>C20</x:v>
      </x:c>
      <x:c r="B124" t="str">
        <x:v>881ec9ce17fffff</x:v>
      </x:c>
      <x:c r="C124" t="str">
        <x:v>walk</x:v>
      </x:c>
      <x:c r="D124" t="n">
        <x:v>15</x:v>
      </x:c>
      <x:c r="E124" s="32" t="n">
        <x:v>33518</x:v>
      </x:c>
      <x:c r="F124" s="32" t="n">
        <x:v>36585.543</x:v>
      </x:c>
      <x:c r="G124" t="n">
        <x:v>7</x:v>
      </x:c>
    </x:row>
    <x:row r="125">
      <x:c r="A125" t="str">
        <x:v>C21</x:v>
      </x:c>
      <x:c r="B125" t="str">
        <x:v>881ec98905fffff</x:v>
      </x:c>
      <x:c r="C125" t="str">
        <x:v>drive</x:v>
      </x:c>
      <x:c r="D125" t="n">
        <x:v>5</x:v>
      </x:c>
      <x:c r="E125" s="32" t="n">
        <x:v>20904</x:v>
      </x:c>
      <x:c r="F125" s="32" t="n">
        <x:v>22882.485</x:v>
      </x:c>
      <x:c r="G125" t="n">
        <x:v>19</x:v>
      </x:c>
    </x:row>
    <x:row r="126">
      <x:c r="A126" t="str">
        <x:v>C21</x:v>
      </x:c>
      <x:c r="B126" t="str">
        <x:v>881ec98905fffff</x:v>
      </x:c>
      <x:c r="C126" t="str">
        <x:v>drive</x:v>
      </x:c>
      <x:c r="D126" t="n">
        <x:v>10</x:v>
      </x:c>
      <x:c r="E126" s="32" t="n">
        <x:v>112734</x:v>
      </x:c>
      <x:c r="F126" s="32" t="n">
        <x:v>123939.608</x:v>
      </x:c>
      <x:c r="G126" t="n">
        <x:v>91</x:v>
      </x:c>
    </x:row>
    <x:row r="127">
      <x:c r="A127" t="str">
        <x:v>C21</x:v>
      </x:c>
      <x:c r="B127" t="str">
        <x:v>881ec98905fffff</x:v>
      </x:c>
      <x:c r="C127" t="str">
        <x:v>drive</x:v>
      </x:c>
      <x:c r="D127" t="n">
        <x:v>15</x:v>
      </x:c>
      <x:c r="E127" s="32" t="n">
        <x:v>243691</x:v>
      </x:c>
      <x:c r="F127" s="32" t="n">
        <x:v>268956.022</x:v>
      </x:c>
      <x:c r="G127" t="n">
        <x:v>195</x:v>
      </x:c>
    </x:row>
    <x:row r="128">
      <x:c r="A128" t="str">
        <x:v>C21</x:v>
      </x:c>
      <x:c r="B128" t="str">
        <x:v>881ec98905fffff</x:v>
      </x:c>
      <x:c r="C128" t="str">
        <x:v>walk</x:v>
      </x:c>
      <x:c r="D128" t="n">
        <x:v>5</x:v>
      </x:c>
      <x:c r="E128" s="32" t="n">
        <x:v>1423</x:v>
      </x:c>
      <x:c r="F128" s="32" t="n">
        <x:v>1590.836</x:v>
      </x:c>
      <x:c r="G128" t="n">
        <x:v>1</x:v>
      </x:c>
    </x:row>
    <x:row r="129">
      <x:c r="A129" t="str">
        <x:v>C21</x:v>
      </x:c>
      <x:c r="B129" t="str">
        <x:v>881ec98905fffff</x:v>
      </x:c>
      <x:c r="C129" t="str">
        <x:v>walk</x:v>
      </x:c>
      <x:c r="D129" t="n">
        <x:v>10</x:v>
      </x:c>
      <x:c r="E129" s="32" t="n">
        <x:v>1423</x:v>
      </x:c>
      <x:c r="F129" s="32" t="n">
        <x:v>1590.836</x:v>
      </x:c>
      <x:c r="G129" t="n">
        <x:v>1</x:v>
      </x:c>
    </x:row>
    <x:row r="130">
      <x:c r="A130" t="str">
        <x:v>C21</x:v>
      </x:c>
      <x:c r="B130" t="str">
        <x:v>881ec98905fffff</x:v>
      </x:c>
      <x:c r="C130" t="str">
        <x:v>walk</x:v>
      </x:c>
      <x:c r="D130" t="n">
        <x:v>15</x:v>
      </x:c>
      <x:c r="E130" s="32" t="n">
        <x:v>8191</x:v>
      </x:c>
      <x:c r="F130" s="32" t="n">
        <x:v>9008.124</x:v>
      </x:c>
      <x:c r="G130" t="n">
        <x:v>7</x:v>
      </x:c>
    </x:row>
    <x:row r="131">
      <x:c r="A131" t="str">
        <x:v>C22</x:v>
      </x:c>
      <x:c r="B131" t="str">
        <x:v>881ec9d9e3fffff</x:v>
      </x:c>
      <x:c r="C131" t="str">
        <x:v>drive</x:v>
      </x:c>
      <x:c r="D131" t="n">
        <x:v>5</x:v>
      </x:c>
      <x:c r="E131" s="32" t="n">
        <x:v>3778</x:v>
      </x:c>
      <x:c r="F131" s="32" t="n">
        <x:v>4182.038</x:v>
      </x:c>
      <x:c r="G131" t="n">
        <x:v>19</x:v>
      </x:c>
    </x:row>
    <x:row r="132">
      <x:c r="A132" t="str">
        <x:v>C22</x:v>
      </x:c>
      <x:c r="B132" t="str">
        <x:v>881ec9d9e3fffff</x:v>
      </x:c>
      <x:c r="C132" t="str">
        <x:v>drive</x:v>
      </x:c>
      <x:c r="D132" t="n">
        <x:v>10</x:v>
      </x:c>
      <x:c r="E132" s="32" t="n">
        <x:v>19866</x:v>
      </x:c>
      <x:c r="F132" s="32" t="n">
        <x:v>22072.957</x:v>
      </x:c>
      <x:c r="G132" t="n">
        <x:v>84</x:v>
      </x:c>
    </x:row>
    <x:row r="133">
      <x:c r="A133" t="str">
        <x:v>C22</x:v>
      </x:c>
      <x:c r="B133" t="str">
        <x:v>881ec9d9e3fffff</x:v>
      </x:c>
      <x:c r="C133" t="str">
        <x:v>drive</x:v>
      </x:c>
      <x:c r="D133" t="n">
        <x:v>15</x:v>
      </x:c>
      <x:c r="E133" s="32" t="n">
        <x:v>42602</x:v>
      </x:c>
      <x:c r="F133" s="32" t="n">
        <x:v>47337.079</x:v>
      </x:c>
      <x:c r="G133" t="n">
        <x:v>173</x:v>
      </x:c>
    </x:row>
    <x:row r="134">
      <x:c r="A134" t="str">
        <x:v>C22</x:v>
      </x:c>
      <x:c r="B134" t="str">
        <x:v>881ec9d9e3fffff</x:v>
      </x:c>
      <x:c r="C134" t="str">
        <x:v>walk</x:v>
      </x:c>
      <x:c r="D134" t="n">
        <x:v>5</x:v>
      </x:c>
      <x:c r="E134" s="32" t="n">
        <x:v>85</x:v>
      </x:c>
      <x:c r="F134" s="32" t="n">
        <x:v>92.328</x:v>
      </x:c>
      <x:c r="G134" t="n">
        <x:v>1</x:v>
      </x:c>
    </x:row>
    <x:row r="135">
      <x:c r="A135" t="str">
        <x:v>C22</x:v>
      </x:c>
      <x:c r="B135" t="str">
        <x:v>881ec9d9e3fffff</x:v>
      </x:c>
      <x:c r="C135" t="str">
        <x:v>walk</x:v>
      </x:c>
      <x:c r="D135" t="n">
        <x:v>10</x:v>
      </x:c>
      <x:c r="E135" s="32" t="n">
        <x:v>85</x:v>
      </x:c>
      <x:c r="F135" s="32" t="n">
        <x:v>92.328</x:v>
      </x:c>
      <x:c r="G135" t="n">
        <x:v>1</x:v>
      </x:c>
    </x:row>
    <x:row r="136">
      <x:c r="A136" t="str">
        <x:v>C22</x:v>
      </x:c>
      <x:c r="B136" t="str">
        <x:v>881ec9d9e3fffff</x:v>
      </x:c>
      <x:c r="C136" t="str">
        <x:v>walk</x:v>
      </x:c>
      <x:c r="D136" t="n">
        <x:v>15</x:v>
      </x:c>
      <x:c r="E136" s="32" t="n">
        <x:v>1737</x:v>
      </x:c>
      <x:c r="F136" s="32" t="n">
        <x:v>1930.1</x:v>
      </x:c>
      <x:c r="G136" t="n">
        <x:v>7</x:v>
      </x:c>
    </x:row>
    <x:row r="137">
      <x:c r="A137" t="str">
        <x:v>C23</x:v>
      </x:c>
      <x:c r="B137" t="str">
        <x:v>881ec988b5fffff</x:v>
      </x:c>
      <x:c r="C137" t="str">
        <x:v>drive</x:v>
      </x:c>
      <x:c r="D137" t="n">
        <x:v>5</x:v>
      </x:c>
      <x:c r="E137" s="32" t="n">
        <x:v>69187</x:v>
      </x:c>
      <x:c r="F137" s="32" t="n">
        <x:v>82455.86</x:v>
      </x:c>
      <x:c r="G137" t="n">
        <x:v>19</x:v>
      </x:c>
    </x:row>
    <x:row r="138">
      <x:c r="A138" t="str">
        <x:v>C23</x:v>
      </x:c>
      <x:c r="B138" t="str">
        <x:v>881ec988b5fffff</x:v>
      </x:c>
      <x:c r="C138" t="str">
        <x:v>drive</x:v>
      </x:c>
      <x:c r="D138" t="n">
        <x:v>10</x:v>
      </x:c>
      <x:c r="E138" s="32" t="n">
        <x:v>243139</x:v>
      </x:c>
      <x:c r="F138" s="32" t="n">
        <x:v>290413.093</x:v>
      </x:c>
      <x:c r="G138" t="n">
        <x:v>70</x:v>
      </x:c>
    </x:row>
    <x:row r="139">
      <x:c r="A139" t="str">
        <x:v>C23</x:v>
      </x:c>
      <x:c r="B139" t="str">
        <x:v>881ec988b5fffff</x:v>
      </x:c>
      <x:c r="C139" t="str">
        <x:v>drive</x:v>
      </x:c>
      <x:c r="D139" t="n">
        <x:v>15</x:v>
      </x:c>
      <x:c r="E139" s="32" t="n">
        <x:v>523980</x:v>
      </x:c>
      <x:c r="F139" s="32" t="n">
        <x:v>626364.954</x:v>
      </x:c>
      <x:c r="G139" t="n">
        <x:v>155</x:v>
      </x:c>
    </x:row>
    <x:row r="140">
      <x:c r="A140" t="str">
        <x:v>C23</x:v>
      </x:c>
      <x:c r="B140" t="str">
        <x:v>881ec988b5fffff</x:v>
      </x:c>
      <x:c r="C140" t="str">
        <x:v>walk</x:v>
      </x:c>
      <x:c r="D140" t="n">
        <x:v>5</x:v>
      </x:c>
      <x:c r="E140" s="32" t="n">
        <x:v>3322</x:v>
      </x:c>
      <x:c r="F140" s="32" t="n">
        <x:v>3896.635</x:v>
      </x:c>
      <x:c r="G140" t="n">
        <x:v>1</x:v>
      </x:c>
    </x:row>
    <x:row r="141">
      <x:c r="A141" t="str">
        <x:v>C23</x:v>
      </x:c>
      <x:c r="B141" t="str">
        <x:v>881ec988b5fffff</x:v>
      </x:c>
      <x:c r="C141" t="str">
        <x:v>walk</x:v>
      </x:c>
      <x:c r="D141" t="n">
        <x:v>10</x:v>
      </x:c>
      <x:c r="E141" s="32" t="n">
        <x:v>3322</x:v>
      </x:c>
      <x:c r="F141" s="32" t="n">
        <x:v>3896.635</x:v>
      </x:c>
      <x:c r="G141" t="n">
        <x:v>1</x:v>
      </x:c>
    </x:row>
    <x:row r="142">
      <x:c r="A142" t="str">
        <x:v>C23</x:v>
      </x:c>
      <x:c r="B142" t="str">
        <x:v>881ec988b5fffff</x:v>
      </x:c>
      <x:c r="C142" t="str">
        <x:v>walk</x:v>
      </x:c>
      <x:c r="D142" t="n">
        <x:v>15</x:v>
      </x:c>
      <x:c r="E142" s="32" t="n">
        <x:v>24964</x:v>
      </x:c>
      <x:c r="F142" s="32" t="n">
        <x:v>29747.397</x:v>
      </x:c>
      <x:c r="G142" t="n">
        <x:v>7</x:v>
      </x:c>
    </x:row>
    <x:row r="143">
      <x:c r="A143" t="str">
        <x:v>C24</x:v>
      </x:c>
      <x:c r="B143" t="str">
        <x:v>881ec9c49bfffff</x:v>
      </x:c>
      <x:c r="C143" t="str">
        <x:v>drive</x:v>
      </x:c>
      <x:c r="D143" t="n">
        <x:v>5</x:v>
      </x:c>
      <x:c r="E143" s="32" t="n">
        <x:v>118859</x:v>
      </x:c>
      <x:c r="F143" s="32" t="n">
        <x:v>136651.404</x:v>
      </x:c>
      <x:c r="G143" t="n">
        <x:v>18</x:v>
      </x:c>
    </x:row>
    <x:row r="144">
      <x:c r="A144" t="str">
        <x:v>C24</x:v>
      </x:c>
      <x:c r="B144" t="str">
        <x:v>881ec9c49bfffff</x:v>
      </x:c>
      <x:c r="C144" t="str">
        <x:v>drive</x:v>
      </x:c>
      <x:c r="D144" t="n">
        <x:v>10</x:v>
      </x:c>
      <x:c r="E144" s="32" t="n">
        <x:v>396396</x:v>
      </x:c>
      <x:c r="F144" s="32" t="n">
        <x:v>456183.29</x:v>
      </x:c>
      <x:c r="G144" t="n">
        <x:v>60</x:v>
      </x:c>
    </x:row>
    <x:row r="145">
      <x:c r="A145" t="str">
        <x:v>C24</x:v>
      </x:c>
      <x:c r="B145" t="str">
        <x:v>881ec9c49bfffff</x:v>
      </x:c>
      <x:c r="C145" t="str">
        <x:v>drive</x:v>
      </x:c>
      <x:c r="D145" t="n">
        <x:v>15</x:v>
      </x:c>
      <x:c r="E145" s="32" t="n">
        <x:v>823788</x:v>
      </x:c>
      <x:c r="F145" s="32" t="n">
        <x:v>949983.813</x:v>
      </x:c>
      <x:c r="G145" t="n">
        <x:v>125</x:v>
      </x:c>
    </x:row>
    <x:row r="146">
      <x:c r="A146" t="str">
        <x:v>C24</x:v>
      </x:c>
      <x:c r="B146" t="str">
        <x:v>881ec9c49bfffff</x:v>
      </x:c>
      <x:c r="C146" t="str">
        <x:v>walk</x:v>
      </x:c>
      <x:c r="D146" t="n">
        <x:v>5</x:v>
      </x:c>
      <x:c r="E146" s="32" t="n">
        <x:v>6922</x:v>
      </x:c>
      <x:c r="F146" s="32" t="n">
        <x:v>8125.124</x:v>
      </x:c>
      <x:c r="G146" t="n">
        <x:v>1</x:v>
      </x:c>
    </x:row>
    <x:row r="147">
      <x:c r="A147" t="str">
        <x:v>C24</x:v>
      </x:c>
      <x:c r="B147" t="str">
        <x:v>881ec9c49bfffff</x:v>
      </x:c>
      <x:c r="C147" t="str">
        <x:v>walk</x:v>
      </x:c>
      <x:c r="D147" t="n">
        <x:v>10</x:v>
      </x:c>
      <x:c r="E147" s="32" t="n">
        <x:v>6922</x:v>
      </x:c>
      <x:c r="F147" s="32" t="n">
        <x:v>8125.124</x:v>
      </x:c>
      <x:c r="G147" t="n">
        <x:v>1</x:v>
      </x:c>
    </x:row>
    <x:row r="148">
      <x:c r="A148" t="str">
        <x:v>C24</x:v>
      </x:c>
      <x:c r="B148" t="str">
        <x:v>881ec9c49bfffff</x:v>
      </x:c>
      <x:c r="C148" t="str">
        <x:v>walk</x:v>
      </x:c>
      <x:c r="D148" t="n">
        <x:v>15</x:v>
      </x:c>
      <x:c r="E148" s="32" t="n">
        <x:v>46272</x:v>
      </x:c>
      <x:c r="F148" s="32" t="n">
        <x:v>53141.744</x:v>
      </x:c>
      <x:c r="G148" t="n">
        <x:v>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497e1c4385942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34" customHeight="1">
      <x:c r="A1" s="3" t="str">
        <x:v>SHAP Sales Explanations</x:v>
      </x:c>
      <x:c r="B1" s="3" t="str">
        <x:v>SHAP Sales Explanations</x:v>
      </x:c>
      <x:c r="C1" s="3" t="str">
        <x:v>SHAP Sales Explanations</x:v>
      </x:c>
      <x:c r="D1" s="3" t="str">
        <x:v>SHAP Sales Explanations</x:v>
      </x:c>
      <x:c r="E1" s="3" t="str">
        <x:v>SHAP Sales Explanations</x:v>
      </x:c>
    </x:row>
    <x:row r="2" ht="28" customHeight="1">
      <x:c r="A2" s="6" t="str">
        <x:v>Feature contributions reconcile the model prediction to its expected baseline.</x:v>
      </x:c>
      <x:c r="B2" s="6" t="str">
        <x:v>Feature contributions reconcile the model prediction to its expected baseline.</x:v>
      </x:c>
      <x:c r="C2" s="6" t="str">
        <x:v>Feature contributions reconcile the model prediction to its expected baseline.</x:v>
      </x:c>
      <x:c r="D2" s="6" t="str">
        <x:v>Feature contributions reconcile the model prediction to its expected baseline.</x:v>
      </x:c>
      <x:c r="E2" s="6" t="str">
        <x:v>Feature contributions reconcile the model prediction to its expected baseline.</x:v>
      </x:c>
    </x:row>
    <x:row r="4" ht="30" customHeight="1">
      <x:c r="A4" s="18" t="str">
        <x:v>candidate_id</x:v>
      </x:c>
      <x:c r="B4" s="19" t="str">
        <x:v>feature</x:v>
      </x:c>
      <x:c r="C4" s="19" t="str">
        <x:v>feature_value</x:v>
      </x:c>
      <x:c r="D4" s="19" t="str">
        <x:v>shap_contribution_try_m</x:v>
      </x:c>
      <x:c r="E4" s="20" t="str">
        <x:v>direction</x:v>
      </x:c>
    </x:row>
    <x:row r="5">
      <x:c r="A5" t="str">
        <x:v>C01</x:v>
      </x:c>
      <x:c r="B5" t="str">
        <x:v>accessible_pop_drive_10</x:v>
      </x:c>
      <x:c r="C5" s="34" t="n">
        <x:v>405561</x:v>
      </x:c>
      <x:c r="D5" s="34" t="n">
        <x:v>17.493838719750645</x:v>
      </x:c>
      <x:c r="E5" t="str">
        <x:v>positive</x:v>
      </x:c>
    </x:row>
    <x:row r="6">
      <x:c r="A6" t="str">
        <x:v>C01</x:v>
      </x:c>
      <x:c r="B6" t="str">
        <x:v>income_index</x:v>
      </x:c>
      <x:c r="C6" s="34" t="n">
        <x:v>135.456</x:v>
      </x:c>
      <x:c r="D6" s="34" t="n">
        <x:v>0.13113063352849957</x:v>
      </x:c>
      <x:c r="E6" t="str">
        <x:v>positive</x:v>
      </x:c>
    </x:row>
    <x:row r="7">
      <x:c r="A7" t="str">
        <x:v>C01</x:v>
      </x:c>
      <x:c r="B7" t="str">
        <x:v>commercial_index</x:v>
      </x:c>
      <x:c r="C7" s="34" t="n">
        <x:v>0.91481</x:v>
      </x:c>
      <x:c r="D7" s="34" t="n">
        <x:v>0.010067093544958864</x:v>
      </x:c>
      <x:c r="E7" t="str">
        <x:v>positive</x:v>
      </x:c>
    </x:row>
    <x:row r="8">
      <x:c r="A8" t="str">
        <x:v>C01</x:v>
      </x:c>
      <x:c r="B8" t="str">
        <x:v>transit_index</x:v>
      </x:c>
      <x:c r="C8" s="34" t="n">
        <x:v>0.887663</x:v>
      </x:c>
      <x:c r="D8" s="34" t="n">
        <x:v>0.21654518615743462</x:v>
      </x:c>
      <x:c r="E8" t="str">
        <x:v>positive</x:v>
      </x:c>
    </x:row>
    <x:row r="9">
      <x:c r="A9" t="str">
        <x:v>C01</x:v>
      </x:c>
      <x:c r="B9" t="str">
        <x:v>poi_density_2km</x:v>
      </x:c>
      <x:c r="C9" s="34" t="n">
        <x:v>22</x:v>
      </x:c>
      <x:c r="D9" s="34" t="n">
        <x:v>0.055986996051653914</x:v>
      </x:c>
      <x:c r="E9" t="str">
        <x:v>positive</x:v>
      </x:c>
    </x:row>
    <x:row r="10">
      <x:c r="A10" t="str">
        <x:v>C01</x:v>
      </x:c>
      <x:c r="B10" t="str">
        <x:v>competitor_density_3km</x:v>
      </x:c>
      <x:c r="C10" s="34" t="n">
        <x:v>1</x:v>
      </x:c>
      <x:c r="D10" s="34" t="n">
        <x:v>0.6895455346700011</x:v>
      </x:c>
      <x:c r="E10" t="str">
        <x:v>positive</x:v>
      </x:c>
    </x:row>
    <x:row r="11">
      <x:c r="A11" t="str">
        <x:v>C01</x:v>
      </x:c>
      <x:c r="B11" t="str">
        <x:v>rent_try_sqm_month</x:v>
      </x:c>
      <x:c r="C11" s="34" t="n">
        <x:v>2267.64</x:v>
      </x:c>
      <x:c r="D11" s="34" t="n">
        <x:v>0.014881933879514867</x:v>
      </x:c>
      <x:c r="E11" t="str">
        <x:v>positive</x:v>
      </x:c>
    </x:row>
    <x:row r="12">
      <x:c r="A12" t="str">
        <x:v>C01</x:v>
      </x:c>
      <x:c r="B12" t="str">
        <x:v>cannibalization_risk</x:v>
      </x:c>
      <x:c r="C12" s="34" t="n">
        <x:v>0.535299</x:v>
      </x:c>
      <x:c r="D12" s="34" t="n">
        <x:v>-0.6209128591168181</x:v>
      </x:c>
      <x:c r="E12" t="str">
        <x:v>negative</x:v>
      </x:c>
    </x:row>
    <x:row r="13">
      <x:c r="A13" t="str">
        <x:v>C01</x:v>
      </x:c>
      <x:c r="B13" t="str">
        <x:v>walkability_index</x:v>
      </x:c>
      <x:c r="C13" s="34" t="n">
        <x:v>0.943645</x:v>
      </x:c>
      <x:c r="D13" s="34" t="n">
        <x:v>3.0802044851977586</x:v>
      </x:c>
      <x:c r="E13" t="str">
        <x:v>positive</x:v>
      </x:c>
    </x:row>
    <x:row r="14">
      <x:c r="A14" t="str">
        <x:v>C02</x:v>
      </x:c>
      <x:c r="B14" t="str">
        <x:v>accessible_pop_drive_10</x:v>
      </x:c>
      <x:c r="C14" s="34" t="n">
        <x:v>328230</x:v>
      </x:c>
      <x:c r="D14" s="34" t="n">
        <x:v>4.402184776833593</x:v>
      </x:c>
      <x:c r="E14" t="str">
        <x:v>positive</x:v>
      </x:c>
    </x:row>
    <x:row r="15">
      <x:c r="A15" t="str">
        <x:v>C02</x:v>
      </x:c>
      <x:c r="B15" t="str">
        <x:v>income_index</x:v>
      </x:c>
      <x:c r="C15" s="34" t="n">
        <x:v>120.091</x:v>
      </x:c>
      <x:c r="D15" s="34" t="n">
        <x:v>-0.17614259831589021</x:v>
      </x:c>
      <x:c r="E15" t="str">
        <x:v>negative</x:v>
      </x:c>
    </x:row>
    <x:row r="16">
      <x:c r="A16" t="str">
        <x:v>C02</x:v>
      </x:c>
      <x:c r="B16" t="str">
        <x:v>commercial_index</x:v>
      </x:c>
      <x:c r="C16" s="34" t="n">
        <x:v>0.820345</x:v>
      </x:c>
      <x:c r="D16" s="34" t="n">
        <x:v>0.10763947010855272</x:v>
      </x:c>
      <x:c r="E16" t="str">
        <x:v>positive</x:v>
      </x:c>
    </x:row>
    <x:row r="17">
      <x:c r="A17" t="str">
        <x:v>C02</x:v>
      </x:c>
      <x:c r="B17" t="str">
        <x:v>transit_index</x:v>
      </x:c>
      <x:c r="C17" s="34" t="n">
        <x:v>0.713254</x:v>
      </x:c>
      <x:c r="D17" s="34" t="n">
        <x:v>-0.8814343814751957</x:v>
      </x:c>
      <x:c r="E17" t="str">
        <x:v>negative</x:v>
      </x:c>
    </x:row>
    <x:row r="18">
      <x:c r="A18" t="str">
        <x:v>C02</x:v>
      </x:c>
      <x:c r="B18" t="str">
        <x:v>poi_density_2km</x:v>
      </x:c>
      <x:c r="C18" s="34" t="n">
        <x:v>9</x:v>
      </x:c>
      <x:c r="D18" s="34" t="n">
        <x:v>0.1317033982497586</x:v>
      </x:c>
      <x:c r="E18" t="str">
        <x:v>positive</x:v>
      </x:c>
    </x:row>
    <x:row r="19">
      <x:c r="A19" t="str">
        <x:v>C02</x:v>
      </x:c>
      <x:c r="B19" t="str">
        <x:v>competitor_density_3km</x:v>
      </x:c>
      <x:c r="C19" s="34" t="n">
        <x:v>3</x:v>
      </x:c>
      <x:c r="D19" s="34" t="n">
        <x:v>0.35464798148093</x:v>
      </x:c>
      <x:c r="E19" t="str">
        <x:v>positive</x:v>
      </x:c>
    </x:row>
    <x:row r="20">
      <x:c r="A20" t="str">
        <x:v>C02</x:v>
      </x:c>
      <x:c r="B20" t="str">
        <x:v>rent_try_sqm_month</x:v>
      </x:c>
      <x:c r="C20" s="34" t="n">
        <x:v>2016.9</x:v>
      </x:c>
      <x:c r="D20" s="34" t="n">
        <x:v>0.0858857003338382</x:v>
      </x:c>
      <x:c r="E20" t="str">
        <x:v>positive</x:v>
      </x:c>
    </x:row>
    <x:row r="21">
      <x:c r="A21" t="str">
        <x:v>C02</x:v>
      </x:c>
      <x:c r="B21" t="str">
        <x:v>cannibalization_risk</x:v>
      </x:c>
      <x:c r="C21" s="34" t="n">
        <x:v>0.001689</x:v>
      </x:c>
      <x:c r="D21" s="34" t="n">
        <x:v>-0.6250749444134533</x:v>
      </x:c>
      <x:c r="E21" t="str">
        <x:v>negative</x:v>
      </x:c>
    </x:row>
    <x:row r="22">
      <x:c r="A22" t="str">
        <x:v>C02</x:v>
      </x:c>
      <x:c r="B22" t="str">
        <x:v>walkability_index</x:v>
      </x:c>
      <x:c r="C22" s="34" t="n">
        <x:v>0.912466</x:v>
      </x:c>
      <x:c r="D22" s="34" t="n">
        <x:v>2.9758811343289358</x:v>
      </x:c>
      <x:c r="E22" t="str">
        <x:v>positive</x:v>
      </x:c>
    </x:row>
    <x:row r="23">
      <x:c r="A23" t="str">
        <x:v>C03</x:v>
      </x:c>
      <x:c r="B23" t="str">
        <x:v>accessible_pop_drive_10</x:v>
      </x:c>
      <x:c r="C23" s="34" t="n">
        <x:v>394377</x:v>
      </x:c>
      <x:c r="D23" s="34" t="n">
        <x:v>17.49314000360535</x:v>
      </x:c>
      <x:c r="E23" t="str">
        <x:v>positive</x:v>
      </x:c>
    </x:row>
    <x:row r="24">
      <x:c r="A24" t="str">
        <x:v>C03</x:v>
      </x:c>
      <x:c r="B24" t="str">
        <x:v>income_index</x:v>
      </x:c>
      <x:c r="C24" s="34" t="n">
        <x:v>119.424</x:v>
      </x:c>
      <x:c r="D24" s="34" t="n">
        <x:v>-0.17471853954433067</x:v>
      </x:c>
      <x:c r="E24" t="str">
        <x:v>negative</x:v>
      </x:c>
    </x:row>
    <x:row r="25">
      <x:c r="A25" t="str">
        <x:v>C03</x:v>
      </x:c>
      <x:c r="B25" t="str">
        <x:v>commercial_index</x:v>
      </x:c>
      <x:c r="C25" s="34" t="n">
        <x:v>0.823608</x:v>
      </x:c>
      <x:c r="D25" s="34" t="n">
        <x:v>-0.058345253598633684</x:v>
      </x:c>
      <x:c r="E25" t="str">
        <x:v>negative</x:v>
      </x:c>
    </x:row>
    <x:row r="26">
      <x:c r="A26" t="str">
        <x:v>C03</x:v>
      </x:c>
      <x:c r="B26" t="str">
        <x:v>transit_index</x:v>
      </x:c>
      <x:c r="C26" s="34" t="n">
        <x:v>0.732418</x:v>
      </x:c>
      <x:c r="D26" s="34" t="n">
        <x:v>-0.26494321044325647</x:v>
      </x:c>
      <x:c r="E26" t="str">
        <x:v>negative</x:v>
      </x:c>
    </x:row>
    <x:row r="27">
      <x:c r="A27" t="str">
        <x:v>C03</x:v>
      </x:c>
      <x:c r="B27" t="str">
        <x:v>poi_density_2km</x:v>
      </x:c>
      <x:c r="C27" s="34" t="n">
        <x:v>0</x:v>
      </x:c>
      <x:c r="D27" s="34" t="n">
        <x:v>-0.10676748987361832</x:v>
      </x:c>
      <x:c r="E27" t="str">
        <x:v>negative</x:v>
      </x:c>
    </x:row>
    <x:row r="28">
      <x:c r="A28" t="str">
        <x:v>C03</x:v>
      </x:c>
      <x:c r="B28" t="str">
        <x:v>competitor_density_3km</x:v>
      </x:c>
      <x:c r="C28" s="34" t="n">
        <x:v>0</x:v>
      </x:c>
      <x:c r="D28" s="34" t="n">
        <x:v>0.940469287540132</x:v>
      </x:c>
      <x:c r="E28" t="str">
        <x:v>positive</x:v>
      </x:c>
    </x:row>
    <x:row r="29">
      <x:c r="A29" t="str">
        <x:v>C03</x:v>
      </x:c>
      <x:c r="B29" t="str">
        <x:v>rent_try_sqm_month</x:v>
      </x:c>
      <x:c r="C29" s="34" t="n">
        <x:v>1981.49</x:v>
      </x:c>
      <x:c r="D29" s="34" t="n">
        <x:v>-0.018461493871098016</x:v>
      </x:c>
      <x:c r="E29" t="str">
        <x:v>negative</x:v>
      </x:c>
    </x:row>
    <x:row r="30">
      <x:c r="A30" t="str">
        <x:v>C03</x:v>
      </x:c>
      <x:c r="B30" t="str">
        <x:v>cannibalization_risk</x:v>
      </x:c>
      <x:c r="C30" s="34" t="n">
        <x:v>0.01029</x:v>
      </x:c>
      <x:c r="D30" s="34" t="n">
        <x:v>-1.499857763049983</x:v>
      </x:c>
      <x:c r="E30" t="str">
        <x:v>negative</x:v>
      </x:c>
    </x:row>
    <x:row r="31">
      <x:c r="A31" t="str">
        <x:v>C03</x:v>
      </x:c>
      <x:c r="B31" t="str">
        <x:v>walkability_index</x:v>
      </x:c>
      <x:c r="C31" s="34" t="n">
        <x:v>0.894543</x:v>
      </x:c>
      <x:c r="D31" s="34" t="n">
        <x:v>3.272212410639853</x:v>
      </x:c>
      <x:c r="E31" t="str">
        <x:v>positive</x:v>
      </x:c>
    </x:row>
    <x:row r="32">
      <x:c r="A32" t="str">
        <x:v>C04</x:v>
      </x:c>
      <x:c r="B32" t="str">
        <x:v>accessible_pop_drive_10</x:v>
      </x:c>
      <x:c r="C32" s="34" t="n">
        <x:v>338452</x:v>
      </x:c>
      <x:c r="D32" s="34" t="n">
        <x:v>8.555981918494027</x:v>
      </x:c>
      <x:c r="E32" t="str">
        <x:v>positive</x:v>
      </x:c>
    </x:row>
    <x:row r="33">
      <x:c r="A33" t="str">
        <x:v>C04</x:v>
      </x:c>
      <x:c r="B33" t="str">
        <x:v>income_index</x:v>
      </x:c>
      <x:c r="C33" s="34" t="n">
        <x:v>117.896</x:v>
      </x:c>
      <x:c r="D33" s="34" t="n">
        <x:v>-0.3354946982930241</x:v>
      </x:c>
      <x:c r="E33" t="str">
        <x:v>negative</x:v>
      </x:c>
    </x:row>
    <x:row r="34">
      <x:c r="A34" t="str">
        <x:v>C04</x:v>
      </x:c>
      <x:c r="B34" t="str">
        <x:v>commercial_index</x:v>
      </x:c>
      <x:c r="C34" s="34" t="n">
        <x:v>0.820531</x:v>
      </x:c>
      <x:c r="D34" s="34" t="n">
        <x:v>-0.07203224909761052</x:v>
      </x:c>
      <x:c r="E34" t="str">
        <x:v>negative</x:v>
      </x:c>
    </x:row>
    <x:row r="35">
      <x:c r="A35" t="str">
        <x:v>C04</x:v>
      </x:c>
      <x:c r="B35" t="str">
        <x:v>transit_index</x:v>
      </x:c>
      <x:c r="C35" s="34" t="n">
        <x:v>0.70891</x:v>
      </x:c>
      <x:c r="D35" s="34" t="n">
        <x:v>-0.9823258458591232</x:v>
      </x:c>
      <x:c r="E35" t="str">
        <x:v>negative</x:v>
      </x:c>
    </x:row>
    <x:row r="36">
      <x:c r="A36" t="str">
        <x:v>C04</x:v>
      </x:c>
      <x:c r="B36" t="str">
        <x:v>poi_density_2km</x:v>
      </x:c>
      <x:c r="C36" s="34" t="n">
        <x:v>24</x:v>
      </x:c>
      <x:c r="D36" s="34" t="n">
        <x:v>-0.166933203407844</x:v>
      </x:c>
      <x:c r="E36" t="str">
        <x:v>negative</x:v>
      </x:c>
    </x:row>
    <x:row r="37">
      <x:c r="A37" t="str">
        <x:v>C04</x:v>
      </x:c>
      <x:c r="B37" t="str">
        <x:v>competitor_density_3km</x:v>
      </x:c>
      <x:c r="C37" s="34" t="n">
        <x:v>10</x:v>
      </x:c>
      <x:c r="D37" s="34" t="n">
        <x:v>-5.006725474056059</x:v>
      </x:c>
      <x:c r="E37" t="str">
        <x:v>negative</x:v>
      </x:c>
    </x:row>
    <x:row r="38">
      <x:c r="A38" t="str">
        <x:v>C04</x:v>
      </x:c>
      <x:c r="B38" t="str">
        <x:v>rent_try_sqm_month</x:v>
      </x:c>
      <x:c r="C38" s="34" t="n">
        <x:v>1988.34</x:v>
      </x:c>
      <x:c r="D38" s="34" t="n">
        <x:v>0.009153429307209278</x:v>
      </x:c>
      <x:c r="E38" t="str">
        <x:v>positive</x:v>
      </x:c>
    </x:row>
    <x:row r="39">
      <x:c r="A39" t="str">
        <x:v>C04</x:v>
      </x:c>
      <x:c r="B39" t="str">
        <x:v>cannibalization_risk</x:v>
      </x:c>
      <x:c r="C39" s="34" t="n">
        <x:v>0.00302</x:v>
      </x:c>
      <x:c r="D39" s="34" t="n">
        <x:v>-0.6697513624084533</x:v>
      </x:c>
      <x:c r="E39" t="str">
        <x:v>negative</x:v>
      </x:c>
    </x:row>
    <x:row r="40">
      <x:c r="A40" t="str">
        <x:v>C04</x:v>
      </x:c>
      <x:c r="B40" t="str">
        <x:v>walkability_index</x:v>
      </x:c>
      <x:c r="C40" s="34" t="n">
        <x:v>0.908338</x:v>
      </x:c>
      <x:c r="D40" s="34" t="n">
        <x:v>2.801175312982437</x:v>
      </x:c>
      <x:c r="E40" t="str">
        <x:v>positive</x:v>
      </x:c>
    </x:row>
    <x:row r="41">
      <x:c r="A41" t="str">
        <x:v>C05</x:v>
      </x:c>
      <x:c r="B41" t="str">
        <x:v>accessible_pop_drive_10</x:v>
      </x:c>
      <x:c r="C41" s="34" t="n">
        <x:v>404027</x:v>
      </x:c>
      <x:c r="D41" s="34" t="n">
        <x:v>17.382632752618214</x:v>
      </x:c>
      <x:c r="E41" t="str">
        <x:v>positive</x:v>
      </x:c>
    </x:row>
    <x:row r="42">
      <x:c r="A42" t="str">
        <x:v>C05</x:v>
      </x:c>
      <x:c r="B42" t="str">
        <x:v>income_index</x:v>
      </x:c>
      <x:c r="C42" s="34" t="n">
        <x:v>138.306</x:v>
      </x:c>
      <x:c r="D42" s="34" t="n">
        <x:v>0.15581764526907527</x:v>
      </x:c>
      <x:c r="E42" t="str">
        <x:v>positive</x:v>
      </x:c>
    </x:row>
    <x:row r="43">
      <x:c r="A43" t="str">
        <x:v>C05</x:v>
      </x:c>
      <x:c r="B43" t="str">
        <x:v>commercial_index</x:v>
      </x:c>
      <x:c r="C43" s="34" t="n">
        <x:v>0.91729</x:v>
      </x:c>
      <x:c r="D43" s="34" t="n">
        <x:v>0.018417371627596144</x:v>
      </x:c>
      <x:c r="E43" t="str">
        <x:v>positive</x:v>
      </x:c>
    </x:row>
    <x:row r="44">
      <x:c r="A44" t="str">
        <x:v>C05</x:v>
      </x:c>
      <x:c r="B44" t="str">
        <x:v>transit_index</x:v>
      </x:c>
      <x:c r="C44" s="34" t="n">
        <x:v>0.904172</x:v>
      </x:c>
      <x:c r="D44" s="34" t="n">
        <x:v>0.2241505291912777</x:v>
      </x:c>
      <x:c r="E44" t="str">
        <x:v>positive</x:v>
      </x:c>
    </x:row>
    <x:row r="45">
      <x:c r="A45" t="str">
        <x:v>C05</x:v>
      </x:c>
      <x:c r="B45" t="str">
        <x:v>poi_density_2km</x:v>
      </x:c>
      <x:c r="C45" s="34" t="n">
        <x:v>26</x:v>
      </x:c>
      <x:c r="D45" s="34" t="n">
        <x:v>0.026741692149351848</x:v>
      </x:c>
      <x:c r="E45" t="str">
        <x:v>positive</x:v>
      </x:c>
    </x:row>
    <x:row r="46">
      <x:c r="A46" t="str">
        <x:v>C05</x:v>
      </x:c>
      <x:c r="B46" t="str">
        <x:v>competitor_density_3km</x:v>
      </x:c>
      <x:c r="C46" s="34" t="n">
        <x:v>3</x:v>
      </x:c>
      <x:c r="D46" s="34" t="n">
        <x:v>0.6047400908742696</x:v>
      </x:c>
      <x:c r="E46" t="str">
        <x:v>positive</x:v>
      </x:c>
    </x:row>
    <x:row r="47">
      <x:c r="A47" t="str">
        <x:v>C05</x:v>
      </x:c>
      <x:c r="B47" t="str">
        <x:v>rent_try_sqm_month</x:v>
      </x:c>
      <x:c r="C47" s="34" t="n">
        <x:v>2256.99</x:v>
      </x:c>
      <x:c r="D47" s="34" t="n">
        <x:v>0.0248687767265177</x:v>
      </x:c>
      <x:c r="E47" t="str">
        <x:v>positive</x:v>
      </x:c>
    </x:row>
    <x:row r="48">
      <x:c r="A48" t="str">
        <x:v>C05</x:v>
      </x:c>
      <x:c r="B48" t="str">
        <x:v>cannibalization_risk</x:v>
      </x:c>
      <x:c r="C48" s="34" t="n">
        <x:v>0.609962</x:v>
      </x:c>
      <x:c r="D48" s="34" t="n">
        <x:v>-0.8834716539051229</x:v>
      </x:c>
      <x:c r="E48" t="str">
        <x:v>negative</x:v>
      </x:c>
    </x:row>
    <x:row r="49">
      <x:c r="A49" t="str">
        <x:v>C05</x:v>
      </x:c>
      <x:c r="B49" t="str">
        <x:v>walkability_index</x:v>
      </x:c>
      <x:c r="C49" s="34" t="n">
        <x:v>0.917928</x:v>
      </x:c>
      <x:c r="D49" s="34" t="n">
        <x:v>3.1153374393589113</x:v>
      </x:c>
      <x:c r="E49" t="str">
        <x:v>positive</x:v>
      </x:c>
    </x:row>
    <x:row r="50">
      <x:c r="A50" t="str">
        <x:v>C06</x:v>
      </x:c>
      <x:c r="B50" t="str">
        <x:v>accessible_pop_drive_10</x:v>
      </x:c>
      <x:c r="C50" s="34" t="n">
        <x:v>389561</x:v>
      </x:c>
      <x:c r="D50" s="34" t="n">
        <x:v>17.394472732332463</x:v>
      </x:c>
      <x:c r="E50" t="str">
        <x:v>positive</x:v>
      </x:c>
    </x:row>
    <x:row r="51">
      <x:c r="A51" t="str">
        <x:v>C06</x:v>
      </x:c>
      <x:c r="B51" t="str">
        <x:v>income_index</x:v>
      </x:c>
      <x:c r="C51" s="34" t="n">
        <x:v>127.151</x:v>
      </x:c>
      <x:c r="D51" s="34" t="n">
        <x:v>0.10819098240976874</x:v>
      </x:c>
      <x:c r="E51" t="str">
        <x:v>positive</x:v>
      </x:c>
    </x:row>
    <x:row r="52">
      <x:c r="A52" t="str">
        <x:v>C06</x:v>
      </x:c>
      <x:c r="B52" t="str">
        <x:v>commercial_index</x:v>
      </x:c>
      <x:c r="C52" s="34" t="n">
        <x:v>0.837541</x:v>
      </x:c>
      <x:c r="D52" s="34" t="n">
        <x:v>-0.026577395567272802</x:v>
      </x:c>
      <x:c r="E52" t="str">
        <x:v>negative</x:v>
      </x:c>
    </x:row>
    <x:row r="53">
      <x:c r="A53" t="str">
        <x:v>C06</x:v>
      </x:c>
      <x:c r="B53" t="str">
        <x:v>transit_index</x:v>
      </x:c>
      <x:c r="C53" s="34" t="n">
        <x:v>0.797399</x:v>
      </x:c>
      <x:c r="D53" s="34" t="n">
        <x:v>0.23218816597332825</x:v>
      </x:c>
      <x:c r="E53" t="str">
        <x:v>positive</x:v>
      </x:c>
    </x:row>
    <x:row r="54">
      <x:c r="A54" t="str">
        <x:v>C06</x:v>
      </x:c>
      <x:c r="B54" t="str">
        <x:v>poi_density_2km</x:v>
      </x:c>
      <x:c r="C54" s="34" t="n">
        <x:v>23</x:v>
      </x:c>
      <x:c r="D54" s="34" t="n">
        <x:v>0.10901865833930297</x:v>
      </x:c>
      <x:c r="E54" t="str">
        <x:v>positive</x:v>
      </x:c>
    </x:row>
    <x:row r="55">
      <x:c r="A55" t="str">
        <x:v>C06</x:v>
      </x:c>
      <x:c r="B55" t="str">
        <x:v>competitor_density_3km</x:v>
      </x:c>
      <x:c r="C55" s="34" t="n">
        <x:v>2</x:v>
      </x:c>
      <x:c r="D55" s="34" t="n">
        <x:v>0.7619551189633574</x:v>
      </x:c>
      <x:c r="E55" t="str">
        <x:v>positive</x:v>
      </x:c>
    </x:row>
    <x:row r="56">
      <x:c r="A56" t="str">
        <x:v>C06</x:v>
      </x:c>
      <x:c r="B56" t="str">
        <x:v>rent_try_sqm_month</x:v>
      </x:c>
      <x:c r="C56" s="34" t="n">
        <x:v>2083.11</x:v>
      </x:c>
      <x:c r="D56" s="34" t="n">
        <x:v>0.0004674807035154622</x:v>
      </x:c>
      <x:c r="E56" t="str">
        <x:v>positive</x:v>
      </x:c>
    </x:row>
    <x:row r="57">
      <x:c r="A57" t="str">
        <x:v>C06</x:v>
      </x:c>
      <x:c r="B57" t="str">
        <x:v>cannibalization_risk</x:v>
      </x:c>
      <x:c r="C57" s="34" t="n">
        <x:v>0.005417</x:v>
      </x:c>
      <x:c r="D57" s="34" t="n">
        <x:v>-1.2251856705909032</x:v>
      </x:c>
      <x:c r="E57" t="str">
        <x:v>negative</x:v>
      </x:c>
    </x:row>
    <x:row r="58">
      <x:c r="A58" t="str">
        <x:v>C06</x:v>
      </x:c>
      <x:c r="B58" t="str">
        <x:v>walkability_index</x:v>
      </x:c>
      <x:c r="C58" s="34" t="n">
        <x:v>0.919633</x:v>
      </x:c>
      <x:c r="D58" s="34" t="n">
        <x:v>3.2202020675725556</x:v>
      </x:c>
      <x:c r="E58" t="str">
        <x:v>positive</x:v>
      </x:c>
    </x:row>
    <x:row r="59">
      <x:c r="A59" t="str">
        <x:v>C07</x:v>
      </x:c>
      <x:c r="B59" t="str">
        <x:v>accessible_pop_drive_10</x:v>
      </x:c>
      <x:c r="C59" s="34" t="n">
        <x:v>405849</x:v>
      </x:c>
      <x:c r="D59" s="34" t="n">
        <x:v>17.66506136503901</x:v>
      </x:c>
      <x:c r="E59" t="str">
        <x:v>positive</x:v>
      </x:c>
    </x:row>
    <x:row r="60">
      <x:c r="A60" t="str">
        <x:v>C07</x:v>
      </x:c>
      <x:c r="B60" t="str">
        <x:v>income_index</x:v>
      </x:c>
      <x:c r="C60" s="34" t="n">
        <x:v>137.757</x:v>
      </x:c>
      <x:c r="D60" s="34" t="n">
        <x:v>0.14236327034063295</x:v>
      </x:c>
      <x:c r="E60" t="str">
        <x:v>positive</x:v>
      </x:c>
    </x:row>
    <x:row r="61">
      <x:c r="A61" t="str">
        <x:v>C07</x:v>
      </x:c>
      <x:c r="B61" t="str">
        <x:v>commercial_index</x:v>
      </x:c>
      <x:c r="C61" s="34" t="n">
        <x:v>0.915623</x:v>
      </x:c>
      <x:c r="D61" s="34" t="n">
        <x:v>-0.0014119331887102885</x:v>
      </x:c>
      <x:c r="E61" t="str">
        <x:v>negative</x:v>
      </x:c>
    </x:row>
    <x:row r="62">
      <x:c r="A62" t="str">
        <x:v>C07</x:v>
      </x:c>
      <x:c r="B62" t="str">
        <x:v>transit_index</x:v>
      </x:c>
      <x:c r="C62" s="34" t="n">
        <x:v>0.900091</x:v>
      </x:c>
      <x:c r="D62" s="34" t="n">
        <x:v>0.2248023042448304</x:v>
      </x:c>
      <x:c r="E62" t="str">
        <x:v>positive</x:v>
      </x:c>
    </x:row>
    <x:row r="63">
      <x:c r="A63" t="str">
        <x:v>C07</x:v>
      </x:c>
      <x:c r="B63" t="str">
        <x:v>poi_density_2km</x:v>
      </x:c>
      <x:c r="C63" s="34" t="n">
        <x:v>10</x:v>
      </x:c>
      <x:c r="D63" s="34" t="n">
        <x:v>0.09061845443299485</x:v>
      </x:c>
      <x:c r="E63" t="str">
        <x:v>positive</x:v>
      </x:c>
    </x:row>
    <x:row r="64">
      <x:c r="A64" t="str">
        <x:v>C07</x:v>
      </x:c>
      <x:c r="B64" t="str">
        <x:v>competitor_density_3km</x:v>
      </x:c>
      <x:c r="C64" s="34" t="n">
        <x:v>1</x:v>
      </x:c>
      <x:c r="D64" s="34" t="n">
        <x:v>0.7110120723270962</x:v>
      </x:c>
      <x:c r="E64" t="str">
        <x:v>positive</x:v>
      </x:c>
    </x:row>
    <x:row r="65">
      <x:c r="A65" t="str">
        <x:v>C07</x:v>
      </x:c>
      <x:c r="B65" t="str">
        <x:v>rent_try_sqm_month</x:v>
      </x:c>
      <x:c r="C65" s="34" t="n">
        <x:v>2258.47</x:v>
      </x:c>
      <x:c r="D65" s="34" t="n">
        <x:v>0.012816561741207249</x:v>
      </x:c>
      <x:c r="E65" t="str">
        <x:v>positive</x:v>
      </x:c>
    </x:row>
    <x:row r="66">
      <x:c r="A66" t="str">
        <x:v>C07</x:v>
      </x:c>
      <x:c r="B66" t="str">
        <x:v>cannibalization_risk</x:v>
      </x:c>
      <x:c r="C66" s="34" t="n">
        <x:v>0.348754</x:v>
      </x:c>
      <x:c r="D66" s="34" t="n">
        <x:v>0.17725385522690237</x:v>
      </x:c>
      <x:c r="E66" t="str">
        <x:v>positive</x:v>
      </x:c>
    </x:row>
    <x:row r="67">
      <x:c r="A67" t="str">
        <x:v>C07</x:v>
      </x:c>
      <x:c r="B67" t="str">
        <x:v>walkability_index</x:v>
      </x:c>
      <x:c r="C67" s="34" t="n">
        <x:v>0.923496</x:v>
      </x:c>
      <x:c r="D67" s="34" t="n">
        <x:v>3.1348794650612204</x:v>
      </x:c>
      <x:c r="E67" t="str">
        <x:v>positive</x:v>
      </x:c>
    </x:row>
    <x:row r="68">
      <x:c r="A68" t="str">
        <x:v>C08</x:v>
      </x:c>
      <x:c r="B68" t="str">
        <x:v>accessible_pop_drive_10</x:v>
      </x:c>
      <x:c r="C68" s="34" t="n">
        <x:v>271395</x:v>
      </x:c>
      <x:c r="D68" s="34" t="n">
        <x:v>-8.331227096894532</x:v>
      </x:c>
      <x:c r="E68" t="str">
        <x:v>negative</x:v>
      </x:c>
    </x:row>
    <x:row r="69">
      <x:c r="A69" t="str">
        <x:v>C08</x:v>
      </x:c>
      <x:c r="B69" t="str">
        <x:v>income_index</x:v>
      </x:c>
      <x:c r="C69" s="34" t="n">
        <x:v>140.647</x:v>
      </x:c>
      <x:c r="D69" s="34" t="n">
        <x:v>0.3787160088790399</x:v>
      </x:c>
      <x:c r="E69" t="str">
        <x:v>positive</x:v>
      </x:c>
    </x:row>
    <x:row r="70">
      <x:c r="A70" t="str">
        <x:v>C08</x:v>
      </x:c>
      <x:c r="B70" t="str">
        <x:v>commercial_index</x:v>
      </x:c>
      <x:c r="C70" s="34" t="n">
        <x:v>0.929034</x:v>
      </x:c>
      <x:c r="D70" s="34" t="n">
        <x:v>-0.038971995811662635</x:v>
      </x:c>
      <x:c r="E70" t="str">
        <x:v>negative</x:v>
      </x:c>
    </x:row>
    <x:row r="71">
      <x:c r="A71" t="str">
        <x:v>C08</x:v>
      </x:c>
      <x:c r="B71" t="str">
        <x:v>transit_index</x:v>
      </x:c>
      <x:c r="C71" s="34" t="n">
        <x:v>0.918559</x:v>
      </x:c>
      <x:c r="D71" s="34" t="n">
        <x:v>0.22314076758081616</x:v>
      </x:c>
      <x:c r="E71" t="str">
        <x:v>positive</x:v>
      </x:c>
    </x:row>
    <x:row r="72">
      <x:c r="A72" t="str">
        <x:v>C08</x:v>
      </x:c>
      <x:c r="B72" t="str">
        <x:v>poi_density_2km</x:v>
      </x:c>
      <x:c r="C72" s="34" t="n">
        <x:v>0</x:v>
      </x:c>
      <x:c r="D72" s="34" t="n">
        <x:v>-0.08172559794527312</x:v>
      </x:c>
      <x:c r="E72" t="str">
        <x:v>negative</x:v>
      </x:c>
    </x:row>
    <x:row r="73">
      <x:c r="A73" t="str">
        <x:v>C08</x:v>
      </x:c>
      <x:c r="B73" t="str">
        <x:v>competitor_density_3km</x:v>
      </x:c>
      <x:c r="C73" s="34" t="n">
        <x:v>0</x:v>
      </x:c>
      <x:c r="D73" s="34" t="n">
        <x:v>0.47446451478441243</x:v>
      </x:c>
      <x:c r="E73" t="str">
        <x:v>positive</x:v>
      </x:c>
    </x:row>
    <x:row r="74">
      <x:c r="A74" t="str">
        <x:v>C08</x:v>
      </x:c>
      <x:c r="B74" t="str">
        <x:v>rent_try_sqm_month</x:v>
      </x:c>
      <x:c r="C74" s="34" t="n">
        <x:v>2311.65</x:v>
      </x:c>
      <x:c r="D74" s="34" t="n">
        <x:v>0.010248875820259684</x:v>
      </x:c>
      <x:c r="E74" t="str">
        <x:v>positive</x:v>
      </x:c>
    </x:row>
    <x:row r="75">
      <x:c r="A75" t="str">
        <x:v>C08</x:v>
      </x:c>
      <x:c r="B75" t="str">
        <x:v>cannibalization_risk</x:v>
      </x:c>
      <x:c r="C75" s="34" t="n">
        <x:v>0.019472</x:v>
      </x:c>
      <x:c r="D75" s="34" t="n">
        <x:v>0.6037486683700841</x:v>
      </x:c>
      <x:c r="E75" t="str">
        <x:v>positive</x:v>
      </x:c>
    </x:row>
    <x:row r="76">
      <x:c r="A76" t="str">
        <x:v>C08</x:v>
      </x:c>
      <x:c r="B76" t="str">
        <x:v>walkability_index</x:v>
      </x:c>
      <x:c r="C76" s="34" t="n">
        <x:v>0.892777</x:v>
      </x:c>
      <x:c r="D76" s="34" t="n">
        <x:v>2.817425719621601</x:v>
      </x:c>
      <x:c r="E76" t="str">
        <x:v>positive</x:v>
      </x:c>
    </x:row>
    <x:row r="77">
      <x:c r="A77" t="str">
        <x:v>C09</x:v>
      </x:c>
      <x:c r="B77" t="str">
        <x:v>accessible_pop_drive_10</x:v>
      </x:c>
      <x:c r="C77" s="34" t="n">
        <x:v>404165</x:v>
      </x:c>
      <x:c r="D77" s="34" t="n">
        <x:v>17.658766469993033</x:v>
      </x:c>
      <x:c r="E77" t="str">
        <x:v>positive</x:v>
      </x:c>
    </x:row>
    <x:row r="78">
      <x:c r="A78" t="str">
        <x:v>C09</x:v>
      </x:c>
      <x:c r="B78" t="str">
        <x:v>income_index</x:v>
      </x:c>
      <x:c r="C78" s="34" t="n">
        <x:v>134.758</x:v>
      </x:c>
      <x:c r="D78" s="34" t="n">
        <x:v>0.12555846640193258</x:v>
      </x:c>
      <x:c r="E78" t="str">
        <x:v>positive</x:v>
      </x:c>
    </x:row>
    <x:row r="79">
      <x:c r="A79" t="str">
        <x:v>C09</x:v>
      </x:c>
      <x:c r="B79" t="str">
        <x:v>commercial_index</x:v>
      </x:c>
      <x:c r="C79" s="34" t="n">
        <x:v>0.904284</x:v>
      </x:c>
      <x:c r="D79" s="34" t="n">
        <x:v>-0.012823338611088619</x:v>
      </x:c>
      <x:c r="E79" t="str">
        <x:v>negative</x:v>
      </x:c>
    </x:row>
    <x:row r="80">
      <x:c r="A80" t="str">
        <x:v>C09</x:v>
      </x:c>
      <x:c r="B80" t="str">
        <x:v>transit_index</x:v>
      </x:c>
      <x:c r="C80" s="34" t="n">
        <x:v>0.884784</x:v>
      </x:c>
      <x:c r="D80" s="34" t="n">
        <x:v>0.22281535155683319</x:v>
      </x:c>
      <x:c r="E80" t="str">
        <x:v>positive</x:v>
      </x:c>
    </x:row>
    <x:row r="81">
      <x:c r="A81" t="str">
        <x:v>C09</x:v>
      </x:c>
      <x:c r="B81" t="str">
        <x:v>poi_density_2km</x:v>
      </x:c>
      <x:c r="C81" s="34" t="n">
        <x:v>12</x:v>
      </x:c>
      <x:c r="D81" s="34" t="n">
        <x:v>0.09078140886941446</x:v>
      </x:c>
      <x:c r="E81" t="str">
        <x:v>positive</x:v>
      </x:c>
    </x:row>
    <x:row r="82">
      <x:c r="A82" t="str">
        <x:v>C09</x:v>
      </x:c>
      <x:c r="B82" t="str">
        <x:v>competitor_density_3km</x:v>
      </x:c>
      <x:c r="C82" s="34" t="n">
        <x:v>1</x:v>
      </x:c>
      <x:c r="D82" s="34" t="n">
        <x:v>0.7261576800907524</x:v>
      </x:c>
      <x:c r="E82" t="str">
        <x:v>positive</x:v>
      </x:c>
    </x:row>
    <x:row r="83">
      <x:c r="A83" t="str">
        <x:v>C09</x:v>
      </x:c>
      <x:c r="B83" t="str">
        <x:v>rent_try_sqm_month</x:v>
      </x:c>
      <x:c r="C83" s="34" t="n">
        <x:v>2205.94</x:v>
      </x:c>
      <x:c r="D83" s="34" t="n">
        <x:v>0.023069251247567233</x:v>
      </x:c>
      <x:c r="E83" t="str">
        <x:v>positive</x:v>
      </x:c>
    </x:row>
    <x:row r="84">
      <x:c r="A84" t="str">
        <x:v>C09</x:v>
      </x:c>
      <x:c r="B84" t="str">
        <x:v>cannibalization_risk</x:v>
      </x:c>
      <x:c r="C84" s="34" t="n">
        <x:v>0.454724</x:v>
      </x:c>
      <x:c r="D84" s="34" t="n">
        <x:v>0.13688989667119056</x:v>
      </x:c>
      <x:c r="E84" t="str">
        <x:v>positive</x:v>
      </x:c>
    </x:row>
    <x:row r="85">
      <x:c r="A85" t="str">
        <x:v>C09</x:v>
      </x:c>
      <x:c r="B85" t="str">
        <x:v>walkability_index</x:v>
      </x:c>
      <x:c r="C85" s="34" t="n">
        <x:v>0.911707</x:v>
      </x:c>
      <x:c r="D85" s="34" t="n">
        <x:v>3.1380146684179535</x:v>
      </x:c>
      <x:c r="E85" t="str">
        <x:v>positive</x:v>
      </x:c>
    </x:row>
    <x:row r="86">
      <x:c r="A86" t="str">
        <x:v>C10</x:v>
      </x:c>
      <x:c r="B86" t="str">
        <x:v>accessible_pop_drive_10</x:v>
      </x:c>
      <x:c r="C86" s="34" t="n">
        <x:v>406706</x:v>
      </x:c>
      <x:c r="D86" s="34" t="n">
        <x:v>17.613547794127552</x:v>
      </x:c>
      <x:c r="E86" t="str">
        <x:v>positive</x:v>
      </x:c>
    </x:row>
    <x:row r="87">
      <x:c r="A87" t="str">
        <x:v>C10</x:v>
      </x:c>
      <x:c r="B87" t="str">
        <x:v>income_index</x:v>
      </x:c>
      <x:c r="C87" s="34" t="n">
        <x:v>135.86</x:v>
      </x:c>
      <x:c r="D87" s="34" t="n">
        <x:v>0.13799207525514756</x:v>
      </x:c>
      <x:c r="E87" t="str">
        <x:v>positive</x:v>
      </x:c>
    </x:row>
    <x:row r="88">
      <x:c r="A88" t="str">
        <x:v>C10</x:v>
      </x:c>
      <x:c r="B88" t="str">
        <x:v>commercial_index</x:v>
      </x:c>
      <x:c r="C88" s="34" t="n">
        <x:v>0.907677</x:v>
      </x:c>
      <x:c r="D88" s="34" t="n">
        <x:v>-0.00882175927751988</x:v>
      </x:c>
      <x:c r="E88" t="str">
        <x:v>negative</x:v>
      </x:c>
    </x:row>
    <x:row r="89">
      <x:c r="A89" t="str">
        <x:v>C10</x:v>
      </x:c>
      <x:c r="B89" t="str">
        <x:v>transit_index</x:v>
      </x:c>
      <x:c r="C89" s="34" t="n">
        <x:v>0.887706</x:v>
      </x:c>
      <x:c r="D89" s="34" t="n">
        <x:v>0.21673504024061863</x:v>
      </x:c>
      <x:c r="E89" t="str">
        <x:v>positive</x:v>
      </x:c>
    </x:row>
    <x:row r="90">
      <x:c r="A90" t="str">
        <x:v>C10</x:v>
      </x:c>
      <x:c r="B90" t="str">
        <x:v>poi_density_2km</x:v>
      </x:c>
      <x:c r="C90" s="34" t="n">
        <x:v>0</x:v>
      </x:c>
      <x:c r="D90" s="34" t="n">
        <x:v>-0.07418994071526203</x:v>
      </x:c>
      <x:c r="E90" t="str">
        <x:v>negative</x:v>
      </x:c>
    </x:row>
    <x:row r="91">
      <x:c r="A91" t="str">
        <x:v>C10</x:v>
      </x:c>
      <x:c r="B91" t="str">
        <x:v>competitor_density_3km</x:v>
      </x:c>
      <x:c r="C91" s="34" t="n">
        <x:v>0</x:v>
      </x:c>
      <x:c r="D91" s="34" t="n">
        <x:v>0.7949787814337881</x:v>
      </x:c>
      <x:c r="E91" t="str">
        <x:v>positive</x:v>
      </x:c>
    </x:row>
    <x:row r="92">
      <x:c r="A92" t="str">
        <x:v>C10</x:v>
      </x:c>
      <x:c r="B92" t="str">
        <x:v>rent_try_sqm_month</x:v>
      </x:c>
      <x:c r="C92" s="34" t="n">
        <x:v>2233.48</x:v>
      </x:c>
      <x:c r="D92" s="34" t="n">
        <x:v>0.028345101776744906</x:v>
      </x:c>
      <x:c r="E92" t="str">
        <x:v>positive</x:v>
      </x:c>
    </x:row>
    <x:row r="93">
      <x:c r="A93" t="str">
        <x:v>C10</x:v>
      </x:c>
      <x:c r="B93" t="str">
        <x:v>cannibalization_risk</x:v>
      </x:c>
      <x:c r="C93" s="34" t="n">
        <x:v>0.086946</x:v>
      </x:c>
      <x:c r="D93" s="34" t="n">
        <x:v>0.3088554886995077</x:v>
      </x:c>
      <x:c r="E93" t="str">
        <x:v>positive</x:v>
      </x:c>
    </x:row>
    <x:row r="94">
      <x:c r="A94" t="str">
        <x:v>C10</x:v>
      </x:c>
      <x:c r="B94" t="str">
        <x:v>walkability_index</x:v>
      </x:c>
      <x:c r="C94" s="34" t="n">
        <x:v>0.922562</x:v>
      </x:c>
      <x:c r="D94" s="34" t="n">
        <x:v>3.18437829752948</x:v>
      </x:c>
      <x:c r="E94" t="str">
        <x:v>positive</x:v>
      </x:c>
    </x:row>
    <x:row r="95">
      <x:c r="A95" t="str">
        <x:v>C11</x:v>
      </x:c>
      <x:c r="B95" t="str">
        <x:v>accessible_pop_drive_10</x:v>
      </x:c>
      <x:c r="C95" s="34" t="n">
        <x:v>298331</x:v>
      </x:c>
      <x:c r="D95" s="34" t="n">
        <x:v>-4.751550738172399</x:v>
      </x:c>
      <x:c r="E95" t="str">
        <x:v>negative</x:v>
      </x:c>
    </x:row>
    <x:row r="96">
      <x:c r="A96" t="str">
        <x:v>C11</x:v>
      </x:c>
      <x:c r="B96" t="str">
        <x:v>income_index</x:v>
      </x:c>
      <x:c r="C96" s="34" t="n">
        <x:v>129.715</x:v>
      </x:c>
      <x:c r="D96" s="34" t="n">
        <x:v>0.06847774296241477</x:v>
      </x:c>
      <x:c r="E96" t="str">
        <x:v>positive</x:v>
      </x:c>
    </x:row>
    <x:row r="97">
      <x:c r="A97" t="str">
        <x:v>C11</x:v>
      </x:c>
      <x:c r="B97" t="str">
        <x:v>commercial_index</x:v>
      </x:c>
      <x:c r="C97" s="34" t="n">
        <x:v>0.871878</x:v>
      </x:c>
      <x:c r="D97" s="34" t="n">
        <x:v>-0.13175779408372315</x:v>
      </x:c>
      <x:c r="E97" t="str">
        <x:v>negative</x:v>
      </x:c>
    </x:row>
    <x:row r="98">
      <x:c r="A98" t="str">
        <x:v>C11</x:v>
      </x:c>
      <x:c r="B98" t="str">
        <x:v>transit_index</x:v>
      </x:c>
      <x:c r="C98" s="34" t="n">
        <x:v>0.833509</x:v>
      </x:c>
      <x:c r="D98" s="34" t="n">
        <x:v>0.0953139638756292</x:v>
      </x:c>
      <x:c r="E98" t="str">
        <x:v>positive</x:v>
      </x:c>
    </x:row>
    <x:row r="99">
      <x:c r="A99" t="str">
        <x:v>C11</x:v>
      </x:c>
      <x:c r="B99" t="str">
        <x:v>poi_density_2km</x:v>
      </x:c>
      <x:c r="C99" s="34" t="n">
        <x:v>28</x:v>
      </x:c>
      <x:c r="D99" s="34" t="n">
        <x:v>-0.15941693847770375</x:v>
      </x:c>
      <x:c r="E99" t="str">
        <x:v>negative</x:v>
      </x:c>
    </x:row>
    <x:row r="100">
      <x:c r="A100" t="str">
        <x:v>C11</x:v>
      </x:c>
      <x:c r="B100" t="str">
        <x:v>competitor_density_3km</x:v>
      </x:c>
      <x:c r="C100" s="34" t="n">
        <x:v>6</x:v>
      </x:c>
      <x:c r="D100" s="34" t="n">
        <x:v>-0.7981573246303135</x:v>
      </x:c>
      <x:c r="E100" t="str">
        <x:v>negative</x:v>
      </x:c>
    </x:row>
    <x:row r="101">
      <x:c r="A101" t="str">
        <x:v>C11</x:v>
      </x:c>
      <x:c r="B101" t="str">
        <x:v>rent_try_sqm_month</x:v>
      </x:c>
      <x:c r="C101" s="34" t="n">
        <x:v>2122.01</x:v>
      </x:c>
      <x:c r="D101" s="34" t="n">
        <x:v>0.035353682767238485</x:v>
      </x:c>
      <x:c r="E101" t="str">
        <x:v>positive</x:v>
      </x:c>
    </x:row>
    <x:row r="102">
      <x:c r="A102" t="str">
        <x:v>C11</x:v>
      </x:c>
      <x:c r="B102" t="str">
        <x:v>cannibalization_risk</x:v>
      </x:c>
      <x:c r="C102" s="34" t="n">
        <x:v>0.929426</x:v>
      </x:c>
      <x:c r="D102" s="34" t="n">
        <x:v>-1.3598304246100186</x:v>
      </x:c>
      <x:c r="E102" t="str">
        <x:v>negative</x:v>
      </x:c>
    </x:row>
    <x:row r="103">
      <x:c r="A103" t="str">
        <x:v>C11</x:v>
      </x:c>
      <x:c r="B103" t="str">
        <x:v>walkability_index</x:v>
      </x:c>
      <x:c r="C103" s="34" t="n">
        <x:v>0.904201</x:v>
      </x:c>
      <x:c r="D103" s="34" t="n">
        <x:v>2.6448847171749588</x:v>
      </x:c>
      <x:c r="E103" t="str">
        <x:v>positive</x:v>
      </x:c>
    </x:row>
    <x:row r="104">
      <x:c r="A104" t="str">
        <x:v>C12</x:v>
      </x:c>
      <x:c r="B104" t="str">
        <x:v>accessible_pop_drive_10</x:v>
      </x:c>
      <x:c r="C104" s="34" t="n">
        <x:v>205309</x:v>
      </x:c>
      <x:c r="D104" s="34" t="n">
        <x:v>-30.74358150368032</x:v>
      </x:c>
      <x:c r="E104" t="str">
        <x:v>negative</x:v>
      </x:c>
    </x:row>
    <x:row r="105">
      <x:c r="A105" t="str">
        <x:v>C12</x:v>
      </x:c>
      <x:c r="B105" t="str">
        <x:v>income_index</x:v>
      </x:c>
      <x:c r="C105" s="34" t="n">
        <x:v>132.482</x:v>
      </x:c>
      <x:c r="D105" s="34" t="n">
        <x:v>0.20464274369007837</x:v>
      </x:c>
      <x:c r="E105" t="str">
        <x:v>positive</x:v>
      </x:c>
    </x:row>
    <x:row r="106">
      <x:c r="A106" t="str">
        <x:v>C12</x:v>
      </x:c>
      <x:c r="B106" t="str">
        <x:v>commercial_index</x:v>
      </x:c>
      <x:c r="C106" s="34" t="n">
        <x:v>0.887833</x:v>
      </x:c>
      <x:c r="D106" s="34" t="n">
        <x:v>0.051512392148312755</x:v>
      </x:c>
      <x:c r="E106" t="str">
        <x:v>positive</x:v>
      </x:c>
    </x:row>
    <x:row r="107">
      <x:c r="A107" t="str">
        <x:v>C12</x:v>
      </x:c>
      <x:c r="B107" t="str">
        <x:v>transit_index</x:v>
      </x:c>
      <x:c r="C107" s="34" t="n">
        <x:v>0.857966</x:v>
      </x:c>
      <x:c r="D107" s="34" t="n">
        <x:v>0.3099421576950968</x:v>
      </x:c>
      <x:c r="E107" t="str">
        <x:v>positive</x:v>
      </x:c>
    </x:row>
    <x:row r="108">
      <x:c r="A108" t="str">
        <x:v>C12</x:v>
      </x:c>
      <x:c r="B108" t="str">
        <x:v>poi_density_2km</x:v>
      </x:c>
      <x:c r="C108" s="34" t="n">
        <x:v>28</x:v>
      </x:c>
      <x:c r="D108" s="34" t="n">
        <x:v>0.12491234165473251</x:v>
      </x:c>
      <x:c r="E108" t="str">
        <x:v>positive</x:v>
      </x:c>
    </x:row>
    <x:row r="109">
      <x:c r="A109" t="str">
        <x:v>C12</x:v>
      </x:c>
      <x:c r="B109" t="str">
        <x:v>competitor_density_3km</x:v>
      </x:c>
      <x:c r="C109" s="34" t="n">
        <x:v>4</x:v>
      </x:c>
      <x:c r="D109" s="34" t="n">
        <x:v>0.08962331252535209</x:v>
      </x:c>
      <x:c r="E109" t="str">
        <x:v>positive</x:v>
      </x:c>
    </x:row>
    <x:row r="110">
      <x:c r="A110" t="str">
        <x:v>C12</x:v>
      </x:c>
      <x:c r="B110" t="str">
        <x:v>rent_try_sqm_month</x:v>
      </x:c>
      <x:c r="C110" s="34" t="n">
        <x:v>2161.17</x:v>
      </x:c>
      <x:c r="D110" s="34" t="n">
        <x:v>0.04754952107114036</x:v>
      </x:c>
      <x:c r="E110" t="str">
        <x:v>positive</x:v>
      </x:c>
    </x:row>
    <x:row r="111">
      <x:c r="A111" t="str">
        <x:v>C12</x:v>
      </x:c>
      <x:c r="B111" t="str">
        <x:v>cannibalization_risk</x:v>
      </x:c>
      <x:c r="C111" s="34" t="n">
        <x:v>0.8502</x:v>
      </x:c>
      <x:c r="D111" s="34" t="n">
        <x:v>-0.5337639132935493</x:v>
      </x:c>
      <x:c r="E111" t="str">
        <x:v>negative</x:v>
      </x:c>
    </x:row>
    <x:row r="112">
      <x:c r="A112" t="str">
        <x:v>C12</x:v>
      </x:c>
      <x:c r="B112" t="str">
        <x:v>walkability_index</x:v>
      </x:c>
      <x:c r="C112" s="34" t="n">
        <x:v>0.904308</x:v>
      </x:c>
      <x:c r="D112" s="34" t="n">
        <x:v>3.6595722220775766</x:v>
      </x:c>
      <x:c r="E112" t="str">
        <x:v>positive</x:v>
      </x:c>
    </x:row>
    <x:row r="113">
      <x:c r="A113" t="str">
        <x:v>C13</x:v>
      </x:c>
      <x:c r="B113" t="str">
        <x:v>accessible_pop_drive_10</x:v>
      </x:c>
      <x:c r="C113" s="34" t="n">
        <x:v>339585</x:v>
      </x:c>
      <x:c r="D113" s="34" t="n">
        <x:v>9.839677500462981</x:v>
      </x:c>
      <x:c r="E113" t="str">
        <x:v>positive</x:v>
      </x:c>
    </x:row>
    <x:row r="114">
      <x:c r="A114" t="str">
        <x:v>C13</x:v>
      </x:c>
      <x:c r="B114" t="str">
        <x:v>income_index</x:v>
      </x:c>
      <x:c r="C114" s="34" t="n">
        <x:v>129.197</x:v>
      </x:c>
      <x:c r="D114" s="34" t="n">
        <x:v>0.0629855126356078</x:v>
      </x:c>
      <x:c r="E114" t="str">
        <x:v>positive</x:v>
      </x:c>
    </x:row>
    <x:row r="115">
      <x:c r="A115" t="str">
        <x:v>C13</x:v>
      </x:c>
      <x:c r="B115" t="str">
        <x:v>commercial_index</x:v>
      </x:c>
      <x:c r="C115" s="34" t="n">
        <x:v>0.871725</x:v>
      </x:c>
      <x:c r="D115" s="34" t="n">
        <x:v>-0.06855323330189428</x:v>
      </x:c>
      <x:c r="E115" t="str">
        <x:v>negative</x:v>
      </x:c>
    </x:row>
    <x:row r="116">
      <x:c r="A116" t="str">
        <x:v>C13</x:v>
      </x:c>
      <x:c r="B116" t="str">
        <x:v>transit_index</x:v>
      </x:c>
      <x:c r="C116" s="34" t="n">
        <x:v>0.822108</x:v>
      </x:c>
      <x:c r="D116" s="34" t="n">
        <x:v>0.21055396055769438</x:v>
      </x:c>
      <x:c r="E116" t="str">
        <x:v>positive</x:v>
      </x:c>
    </x:row>
    <x:row r="117">
      <x:c r="A117" t="str">
        <x:v>C13</x:v>
      </x:c>
      <x:c r="B117" t="str">
        <x:v>poi_density_2km</x:v>
      </x:c>
      <x:c r="C117" s="34" t="n">
        <x:v>12</x:v>
      </x:c>
      <x:c r="D117" s="34" t="n">
        <x:v>0.3827677533277992</x:v>
      </x:c>
      <x:c r="E117" t="str">
        <x:v>positive</x:v>
      </x:c>
    </x:row>
    <x:row r="118">
      <x:c r="A118" t="str">
        <x:v>C13</x:v>
      </x:c>
      <x:c r="B118" t="str">
        <x:v>competitor_density_3km</x:v>
      </x:c>
      <x:c r="C118" s="34" t="n">
        <x:v>2</x:v>
      </x:c>
      <x:c r="D118" s="34" t="n">
        <x:v>0.4427425826494972</x:v>
      </x:c>
      <x:c r="E118" t="str">
        <x:v>positive</x:v>
      </x:c>
    </x:row>
    <x:row r="119">
      <x:c r="A119" t="str">
        <x:v>C13</x:v>
      </x:c>
      <x:c r="B119" t="str">
        <x:v>rent_try_sqm_month</x:v>
      </x:c>
      <x:c r="C119" s="34" t="n">
        <x:v>2171.43</x:v>
      </x:c>
      <x:c r="D119" s="34" t="n">
        <x:v>-0.04344906404127535</x:v>
      </x:c>
      <x:c r="E119" t="str">
        <x:v>negative</x:v>
      </x:c>
    </x:row>
    <x:row r="120">
      <x:c r="A120" t="str">
        <x:v>C13</x:v>
      </x:c>
      <x:c r="B120" t="str">
        <x:v>cannibalization_risk</x:v>
      </x:c>
      <x:c r="C120" s="34" t="n">
        <x:v>0.678861</x:v>
      </x:c>
      <x:c r="D120" s="34" t="n">
        <x:v>-0.7821182240096937</x:v>
      </x:c>
      <x:c r="E120" t="str">
        <x:v>negative</x:v>
      </x:c>
    </x:row>
    <x:row r="121">
      <x:c r="A121" t="str">
        <x:v>C13</x:v>
      </x:c>
      <x:c r="B121" t="str">
        <x:v>walkability_index</x:v>
      </x:c>
      <x:c r="C121" s="34" t="n">
        <x:v>0.942925</x:v>
      </x:c>
      <x:c r="D121" s="34" t="n">
        <x:v>2.6804612481689762</x:v>
      </x:c>
      <x:c r="E121" t="str">
        <x:v>positive</x:v>
      </x:c>
    </x:row>
    <x:row r="122">
      <x:c r="A122" t="str">
        <x:v>C14</x:v>
      </x:c>
      <x:c r="B122" t="str">
        <x:v>accessible_pop_drive_10</x:v>
      </x:c>
      <x:c r="C122" s="34" t="n">
        <x:v>379342</x:v>
      </x:c>
      <x:c r="D122" s="34" t="n">
        <x:v>16.836796566648154</x:v>
      </x:c>
      <x:c r="E122" t="str">
        <x:v>positive</x:v>
      </x:c>
    </x:row>
    <x:row r="123">
      <x:c r="A123" t="str">
        <x:v>C14</x:v>
      </x:c>
      <x:c r="B123" t="str">
        <x:v>income_index</x:v>
      </x:c>
      <x:c r="C123" s="34" t="n">
        <x:v>126.536</x:v>
      </x:c>
      <x:c r="D123" s="34" t="n">
        <x:v>-0.002240555602846736</x:v>
      </x:c>
      <x:c r="E123" t="str">
        <x:v>negative</x:v>
      </x:c>
    </x:row>
    <x:row r="124">
      <x:c r="A124" t="str">
        <x:v>C14</x:v>
      </x:c>
      <x:c r="B124" t="str">
        <x:v>commercial_index</x:v>
      </x:c>
      <x:c r="C124" s="34" t="n">
        <x:v>0.853077</x:v>
      </x:c>
      <x:c r="D124" s="34" t="n">
        <x:v>-0.01854998312731474</x:v>
      </x:c>
      <x:c r="E124" t="str">
        <x:v>negative</x:v>
      </x:c>
    </x:row>
    <x:row r="125">
      <x:c r="A125" t="str">
        <x:v>C14</x:v>
      </x:c>
      <x:c r="B125" t="str">
        <x:v>transit_index</x:v>
      </x:c>
      <x:c r="C125" s="34" t="n">
        <x:v>0.794621</x:v>
      </x:c>
      <x:c r="D125" s="34" t="n">
        <x:v>0.14738559264334108</x:v>
      </x:c>
      <x:c r="E125" t="str">
        <x:v>positive</x:v>
      </x:c>
    </x:row>
    <x:row r="126">
      <x:c r="A126" t="str">
        <x:v>C14</x:v>
      </x:c>
      <x:c r="B126" t="str">
        <x:v>poi_density_2km</x:v>
      </x:c>
      <x:c r="C126" s="34" t="n">
        <x:v>17</x:v>
      </x:c>
      <x:c r="D126" s="34" t="n">
        <x:v>0.1463807927156677</x:v>
      </x:c>
      <x:c r="E126" t="str">
        <x:v>positive</x:v>
      </x:c>
    </x:row>
    <x:row r="127">
      <x:c r="A127" t="str">
        <x:v>C14</x:v>
      </x:c>
      <x:c r="B127" t="str">
        <x:v>competitor_density_3km</x:v>
      </x:c>
      <x:c r="C127" s="34" t="n">
        <x:v>5</x:v>
      </x:c>
      <x:c r="D127" s="34" t="n">
        <x:v>0.20744182441358971</x:v>
      </x:c>
      <x:c r="E127" t="str">
        <x:v>positive</x:v>
      </x:c>
    </x:row>
    <x:row r="128">
      <x:c r="A128" t="str">
        <x:v>C14</x:v>
      </x:c>
      <x:c r="B128" t="str">
        <x:v>rent_try_sqm_month</x:v>
      </x:c>
      <x:c r="C128" s="34" t="n">
        <x:v>2145.14</x:v>
      </x:c>
      <x:c r="D128" s="34" t="n">
        <x:v>0.006232091816949595</x:v>
      </x:c>
      <x:c r="E128" t="str">
        <x:v>positive</x:v>
      </x:c>
    </x:row>
    <x:row r="129">
      <x:c r="A129" t="str">
        <x:v>C14</x:v>
      </x:c>
      <x:c r="B129" t="str">
        <x:v>cannibalization_risk</x:v>
      </x:c>
      <x:c r="C129" s="34" t="n">
        <x:v>0.220433</x:v>
      </x:c>
      <x:c r="D129" s="34" t="n">
        <x:v>0.18911534140353792</x:v>
      </x:c>
      <x:c r="E129" t="str">
        <x:v>positive</x:v>
      </x:c>
    </x:row>
    <x:row r="130">
      <x:c r="A130" t="str">
        <x:v>C14</x:v>
      </x:c>
      <x:c r="B130" t="str">
        <x:v>walkability_index</x:v>
      </x:c>
      <x:c r="C130" s="34" t="n">
        <x:v>0.954051</x:v>
      </x:c>
      <x:c r="D130" s="34" t="n">
        <x:v>2.9387411069219094</x:v>
      </x:c>
      <x:c r="E130" t="str">
        <x:v>positive</x:v>
      </x:c>
    </x:row>
    <x:row r="131">
      <x:c r="A131" t="str">
        <x:v>C15</x:v>
      </x:c>
      <x:c r="B131" t="str">
        <x:v>accessible_pop_drive_10</x:v>
      </x:c>
      <x:c r="C131" s="34" t="n">
        <x:v>345124</x:v>
      </x:c>
      <x:c r="D131" s="34" t="n">
        <x:v>11.007300358078115</x:v>
      </x:c>
      <x:c r="E131" t="str">
        <x:v>positive</x:v>
      </x:c>
    </x:row>
    <x:row r="132">
      <x:c r="A132" t="str">
        <x:v>C15</x:v>
      </x:c>
      <x:c r="B132" t="str">
        <x:v>income_index</x:v>
      </x:c>
      <x:c r="C132" s="34" t="n">
        <x:v>122.029</x:v>
      </x:c>
      <x:c r="D132" s="34" t="n">
        <x:v>-0.0924922515816603</x:v>
      </x:c>
      <x:c r="E132" t="str">
        <x:v>negative</x:v>
      </x:c>
    </x:row>
    <x:row r="133">
      <x:c r="A133" t="str">
        <x:v>C15</x:v>
      </x:c>
      <x:c r="B133" t="str">
        <x:v>commercial_index</x:v>
      </x:c>
      <x:c r="C133" s="34" t="n">
        <x:v>0.817975</x:v>
      </x:c>
      <x:c r="D133" s="34" t="n">
        <x:v>-0.0012114698306818212</x:v>
      </x:c>
      <x:c r="E133" t="str">
        <x:v>negative</x:v>
      </x:c>
    </x:row>
    <x:row r="134">
      <x:c r="A134" t="str">
        <x:v>C15</x:v>
      </x:c>
      <x:c r="B134" t="str">
        <x:v>transit_index</x:v>
      </x:c>
      <x:c r="C134" s="34" t="n">
        <x:v>0.755122</x:v>
      </x:c>
      <x:c r="D134" s="34" t="n">
        <x:v>0.19469960253633148</x:v>
      </x:c>
      <x:c r="E134" t="str">
        <x:v>positive</x:v>
      </x:c>
    </x:row>
    <x:row r="135">
      <x:c r="A135" t="str">
        <x:v>C15</x:v>
      </x:c>
      <x:c r="B135" t="str">
        <x:v>poi_density_2km</x:v>
      </x:c>
      <x:c r="C135" s="34" t="n">
        <x:v>5</x:v>
      </x:c>
      <x:c r="D135" s="34" t="n">
        <x:v>-0.019597253504483294</x:v>
      </x:c>
      <x:c r="E135" t="str">
        <x:v>negative</x:v>
      </x:c>
    </x:row>
    <x:row r="136">
      <x:c r="A136" t="str">
        <x:v>C15</x:v>
      </x:c>
      <x:c r="B136" t="str">
        <x:v>competitor_density_3km</x:v>
      </x:c>
      <x:c r="C136" s="34" t="n">
        <x:v>1</x:v>
      </x:c>
      <x:c r="D136" s="34" t="n">
        <x:v>0.8731178832355967</x:v>
      </x:c>
      <x:c r="E136" t="str">
        <x:v>positive</x:v>
      </x:c>
    </x:row>
    <x:row r="137">
      <x:c r="A137" t="str">
        <x:v>C15</x:v>
      </x:c>
      <x:c r="B137" t="str">
        <x:v>rent_try_sqm_month</x:v>
      </x:c>
      <x:c r="C137" s="34" t="n">
        <x:v>2037.69</x:v>
      </x:c>
      <x:c r="D137" s="34" t="n">
        <x:v>0.047360169126119754</x:v>
      </x:c>
      <x:c r="E137" t="str">
        <x:v>positive</x:v>
      </x:c>
    </x:row>
    <x:row r="138">
      <x:c r="A138" t="str">
        <x:v>C15</x:v>
      </x:c>
      <x:c r="B138" t="str">
        <x:v>cannibalization_risk</x:v>
      </x:c>
      <x:c r="C138" s="34" t="n">
        <x:v>0.023205</x:v>
      </x:c>
      <x:c r="D138" s="34" t="n">
        <x:v>-0.30153202145495595</x:v>
      </x:c>
      <x:c r="E138" t="str">
        <x:v>negative</x:v>
      </x:c>
    </x:row>
    <x:row r="139">
      <x:c r="A139" t="str">
        <x:v>C15</x:v>
      </x:c>
      <x:c r="B139" t="str">
        <x:v>walkability_index</x:v>
      </x:c>
      <x:c r="C139" s="34" t="n">
        <x:v>0.930248</x:v>
      </x:c>
      <x:c r="D139" s="34" t="n">
        <x:v>3.0591226602593724</x:v>
      </x:c>
      <x:c r="E139" t="str">
        <x:v>positive</x:v>
      </x:c>
    </x:row>
    <x:row r="140">
      <x:c r="A140" t="str">
        <x:v>C16</x:v>
      </x:c>
      <x:c r="B140" t="str">
        <x:v>accessible_pop_drive_10</x:v>
      </x:c>
      <x:c r="C140" s="34" t="n">
        <x:v>404863</x:v>
      </x:c>
      <x:c r="D140" s="34" t="n">
        <x:v>17.71451681099753</x:v>
      </x:c>
      <x:c r="E140" t="str">
        <x:v>positive</x:v>
      </x:c>
    </x:row>
    <x:row r="141">
      <x:c r="A141" t="str">
        <x:v>C16</x:v>
      </x:c>
      <x:c r="B141" t="str">
        <x:v>income_index</x:v>
      </x:c>
      <x:c r="C141" s="34" t="n">
        <x:v>129.545</x:v>
      </x:c>
      <x:c r="D141" s="34" t="n">
        <x:v>0.04733591616927146</x:v>
      </x:c>
      <x:c r="E141" t="str">
        <x:v>positive</x:v>
      </x:c>
    </x:row>
    <x:row r="142">
      <x:c r="A142" t="str">
        <x:v>C16</x:v>
      </x:c>
      <x:c r="B142" t="str">
        <x:v>commercial_index</x:v>
      </x:c>
      <x:c r="C142" s="34" t="n">
        <x:v>0.874491</x:v>
      </x:c>
      <x:c r="D142" s="34" t="n">
        <x:v>-0.015637021856052966</x:v>
      </x:c>
      <x:c r="E142" t="str">
        <x:v>negative</x:v>
      </x:c>
    </x:row>
    <x:row r="143">
      <x:c r="A143" t="str">
        <x:v>C16</x:v>
      </x:c>
      <x:c r="B143" t="str">
        <x:v>transit_index</x:v>
      </x:c>
      <x:c r="C143" s="34" t="n">
        <x:v>0.829331</x:v>
      </x:c>
      <x:c r="D143" s="34" t="n">
        <x:v>0.1505897418509117</x:v>
      </x:c>
      <x:c r="E143" t="str">
        <x:v>positive</x:v>
      </x:c>
    </x:row>
    <x:row r="144">
      <x:c r="A144" t="str">
        <x:v>C16</x:v>
      </x:c>
      <x:c r="B144" t="str">
        <x:v>poi_density_2km</x:v>
      </x:c>
      <x:c r="C144" s="34" t="n">
        <x:v>4</x:v>
      </x:c>
      <x:c r="D144" s="34" t="n">
        <x:v>0.04911360550562853</x:v>
      </x:c>
      <x:c r="E144" t="str">
        <x:v>positive</x:v>
      </x:c>
    </x:row>
    <x:row r="145">
      <x:c r="A145" t="str">
        <x:v>C16</x:v>
      </x:c>
      <x:c r="B145" t="str">
        <x:v>competitor_density_3km</x:v>
      </x:c>
      <x:c r="C145" s="34" t="n">
        <x:v>0</x:v>
      </x:c>
      <x:c r="D145" s="34" t="n">
        <x:v>0.8363815265569586</x:v>
      </x:c>
      <x:c r="E145" t="str">
        <x:v>positive</x:v>
      </x:c>
    </x:row>
    <x:row r="146">
      <x:c r="A146" t="str">
        <x:v>C16</x:v>
      </x:c>
      <x:c r="B146" t="str">
        <x:v>rent_try_sqm_month</x:v>
      </x:c>
      <x:c r="C146" s="34" t="n">
        <x:v>2153.7</x:v>
      </x:c>
      <x:c r="D146" s="34" t="n">
        <x:v>0.012851515513430221</x:v>
      </x:c>
      <x:c r="E146" t="str">
        <x:v>positive</x:v>
      </x:c>
    </x:row>
    <x:row r="147">
      <x:c r="A147" t="str">
        <x:v>C16</x:v>
      </x:c>
      <x:c r="B147" t="str">
        <x:v>cannibalization_risk</x:v>
      </x:c>
      <x:c r="C147" s="34" t="n">
        <x:v>0.312443</x:v>
      </x:c>
      <x:c r="D147" s="34" t="n">
        <x:v>0.20696354119793384</x:v>
      </x:c>
      <x:c r="E147" t="str">
        <x:v>positive</x:v>
      </x:c>
    </x:row>
    <x:row r="148">
      <x:c r="A148" t="str">
        <x:v>C16</x:v>
      </x:c>
      <x:c r="B148" t="str">
        <x:v>walkability_index</x:v>
      </x:c>
      <x:c r="C148" s="34" t="n">
        <x:v>0.925797</x:v>
      </x:c>
      <x:c r="D148" s="34" t="n">
        <x:v>3.16057254217484</x:v>
      </x:c>
      <x:c r="E148" t="str">
        <x:v>positive</x:v>
      </x:c>
    </x:row>
    <x:row r="149">
      <x:c r="A149" t="str">
        <x:v>C17</x:v>
      </x:c>
      <x:c r="B149" t="str">
        <x:v>accessible_pop_drive_10</x:v>
      </x:c>
      <x:c r="C149" s="34" t="n">
        <x:v>397428</x:v>
      </x:c>
      <x:c r="D149" s="34" t="n">
        <x:v>17.317948752795452</x:v>
      </x:c>
      <x:c r="E149" t="str">
        <x:v>positive</x:v>
      </x:c>
    </x:row>
    <x:row r="150">
      <x:c r="A150" t="str">
        <x:v>C17</x:v>
      </x:c>
      <x:c r="B150" t="str">
        <x:v>income_index</x:v>
      </x:c>
      <x:c r="C150" s="34" t="n">
        <x:v>119.596</x:v>
      </x:c>
      <x:c r="D150" s="34" t="n">
        <x:v>-0.17972775857570017</x:v>
      </x:c>
      <x:c r="E150" t="str">
        <x:v>negative</x:v>
      </x:c>
    </x:row>
    <x:row r="151">
      <x:c r="A151" t="str">
        <x:v>C17</x:v>
      </x:c>
      <x:c r="B151" t="str">
        <x:v>commercial_index</x:v>
      </x:c>
      <x:c r="C151" s="34" t="n">
        <x:v>0.804829</x:v>
      </x:c>
      <x:c r="D151" s="34" t="n">
        <x:v>-0.024252282599491776</x:v>
      </x:c>
      <x:c r="E151" t="str">
        <x:v>negative</x:v>
      </x:c>
    </x:row>
    <x:row r="152">
      <x:c r="A152" t="str">
        <x:v>C17</x:v>
      </x:c>
      <x:c r="B152" t="str">
        <x:v>transit_index</x:v>
      </x:c>
      <x:c r="C152" s="34" t="n">
        <x:v>0.745934</x:v>
      </x:c>
      <x:c r="D152" s="34" t="n">
        <x:v>-0.07489504695506034</x:v>
      </x:c>
      <x:c r="E152" t="str">
        <x:v>negative</x:v>
      </x:c>
    </x:row>
    <x:row r="153">
      <x:c r="A153" t="str">
        <x:v>C17</x:v>
      </x:c>
      <x:c r="B153" t="str">
        <x:v>poi_density_2km</x:v>
      </x:c>
      <x:c r="C153" s="34" t="n">
        <x:v>18</x:v>
      </x:c>
      <x:c r="D153" s="34" t="n">
        <x:v>0.10430545427276304</x:v>
      </x:c>
      <x:c r="E153" t="str">
        <x:v>positive</x:v>
      </x:c>
    </x:row>
    <x:row r="154">
      <x:c r="A154" t="str">
        <x:v>C17</x:v>
      </x:c>
      <x:c r="B154" t="str">
        <x:v>competitor_density_3km</x:v>
      </x:c>
      <x:c r="C154" s="34" t="n">
        <x:v>4</x:v>
      </x:c>
      <x:c r="D154" s="34" t="n">
        <x:v>0.3926745465452338</x:v>
      </x:c>
      <x:c r="E154" t="str">
        <x:v>positive</x:v>
      </x:c>
    </x:row>
    <x:row r="155">
      <x:c r="A155" t="str">
        <x:v>C17</x:v>
      </x:c>
      <x:c r="B155" t="str">
        <x:v>rent_try_sqm_month</x:v>
      </x:c>
      <x:c r="C155" s="34" t="n">
        <x:v>1935.49</x:v>
      </x:c>
      <x:c r="D155" s="34" t="n">
        <x:v>-0.039005468073299944</x:v>
      </x:c>
      <x:c r="E155" t="str">
        <x:v>negative</x:v>
      </x:c>
    </x:row>
    <x:row r="156">
      <x:c r="A156" t="str">
        <x:v>C17</x:v>
      </x:c>
      <x:c r="B156" t="str">
        <x:v>cannibalization_risk</x:v>
      </x:c>
      <x:c r="C156" s="34" t="n">
        <x:v>0.02556</x:v>
      </x:c>
      <x:c r="D156" s="34" t="n">
        <x:v>-1.290683395509565</x:v>
      </x:c>
      <x:c r="E156" t="str">
        <x:v>negative</x:v>
      </x:c>
    </x:row>
    <x:row r="157">
      <x:c r="A157" t="str">
        <x:v>C17</x:v>
      </x:c>
      <x:c r="B157" t="str">
        <x:v>walkability_index</x:v>
      </x:c>
      <x:c r="C157" s="34" t="n">
        <x:v>0.880286</x:v>
      </x:c>
      <x:c r="D157" s="34" t="n">
        <x:v>3.1896480971525727</x:v>
      </x:c>
      <x:c r="E157" t="str">
        <x:v>positive</x:v>
      </x:c>
    </x:row>
    <x:row r="158">
      <x:c r="A158" t="str">
        <x:v>C18</x:v>
      </x:c>
      <x:c r="B158" t="str">
        <x:v>accessible_pop_drive_10</x:v>
      </x:c>
      <x:c r="C158" s="34" t="n">
        <x:v>379553</x:v>
      </x:c>
      <x:c r="D158" s="34" t="n">
        <x:v>16.720722352662904</x:v>
      </x:c>
      <x:c r="E158" t="str">
        <x:v>positive</x:v>
      </x:c>
    </x:row>
    <x:row r="159">
      <x:c r="A159" t="str">
        <x:v>C18</x:v>
      </x:c>
      <x:c r="B159" t="str">
        <x:v>income_index</x:v>
      </x:c>
      <x:c r="C159" s="34" t="n">
        <x:v>120.826</x:v>
      </x:c>
      <x:c r="D159" s="34" t="n">
        <x:v>-0.15055843184891865</x:v>
      </x:c>
      <x:c r="E159" t="str">
        <x:v>negative</x:v>
      </x:c>
    </x:row>
    <x:row r="160">
      <x:c r="A160" t="str">
        <x:v>C18</x:v>
      </x:c>
      <x:c r="B160" t="str">
        <x:v>commercial_index</x:v>
      </x:c>
      <x:c r="C160" s="34" t="n">
        <x:v>0.813643</x:v>
      </x:c>
      <x:c r="D160" s="34" t="n">
        <x:v>-0.009545014914613768</x:v>
      </x:c>
      <x:c r="E160" t="str">
        <x:v>negative</x:v>
      </x:c>
    </x:row>
    <x:row r="161">
      <x:c r="A161" t="str">
        <x:v>C18</x:v>
      </x:c>
      <x:c r="B161" t="str">
        <x:v>transit_index</x:v>
      </x:c>
      <x:c r="C161" s="34" t="n">
        <x:v>0.74846</x:v>
      </x:c>
      <x:c r="D161" s="34" t="n">
        <x:v>-0.04349400791590877</x:v>
      </x:c>
      <x:c r="E161" t="str">
        <x:v>negative</x:v>
      </x:c>
    </x:row>
    <x:row r="162">
      <x:c r="A162" t="str">
        <x:v>C18</x:v>
      </x:c>
      <x:c r="B162" t="str">
        <x:v>poi_density_2km</x:v>
      </x:c>
      <x:c r="C162" s="34" t="n">
        <x:v>2</x:v>
      </x:c>
      <x:c r="D162" s="34" t="n">
        <x:v>0.1060334170182754</x:v>
      </x:c>
      <x:c r="E162" t="str">
        <x:v>positive</x:v>
      </x:c>
    </x:row>
    <x:row r="163">
      <x:c r="A163" t="str">
        <x:v>C18</x:v>
      </x:c>
      <x:c r="B163" t="str">
        <x:v>competitor_density_3km</x:v>
      </x:c>
      <x:c r="C163" s="34" t="n">
        <x:v>0</x:v>
      </x:c>
      <x:c r="D163" s="34" t="n">
        <x:v>1.0369518794283579</x:v>
      </x:c>
      <x:c r="E163" t="str">
        <x:v>positive</x:v>
      </x:c>
    </x:row>
    <x:row r="164">
      <x:c r="A164" t="str">
        <x:v>C18</x:v>
      </x:c>
      <x:c r="B164" t="str">
        <x:v>rent_try_sqm_month</x:v>
      </x:c>
      <x:c r="C164" s="34" t="n">
        <x:v>2013.5</x:v>
      </x:c>
      <x:c r="D164" s="34" t="n">
        <x:v>0.007794234687190966</x:v>
      </x:c>
      <x:c r="E164" t="str">
        <x:v>positive</x:v>
      </x:c>
    </x:row>
    <x:row r="165">
      <x:c r="A165" t="str">
        <x:v>C18</x:v>
      </x:c>
      <x:c r="B165" t="str">
        <x:v>cannibalization_risk</x:v>
      </x:c>
      <x:c r="C165" s="34" t="n">
        <x:v>0.018037</x:v>
      </x:c>
      <x:c r="D165" s="34" t="n">
        <x:v>-1.360441139134847</x:v>
      </x:c>
      <x:c r="E165" t="str">
        <x:v>negative</x:v>
      </x:c>
    </x:row>
    <x:row r="166">
      <x:c r="A166" t="str">
        <x:v>C18</x:v>
      </x:c>
      <x:c r="B166" t="str">
        <x:v>walkability_index</x:v>
      </x:c>
      <x:c r="C166" s="34" t="n">
        <x:v>0.922846</x:v>
      </x:c>
      <x:c r="D166" s="34" t="n">
        <x:v>3.225943250931194</x:v>
      </x:c>
      <x:c r="E166" t="str">
        <x:v>positive</x:v>
      </x:c>
    </x:row>
    <x:row r="167">
      <x:c r="A167" t="str">
        <x:v>C19</x:v>
      </x:c>
      <x:c r="B167" t="str">
        <x:v>accessible_pop_drive_10</x:v>
      </x:c>
      <x:c r="C167" s="34" t="n">
        <x:v>176514</x:v>
      </x:c>
      <x:c r="D167" s="34" t="n">
        <x:v>-29.627831777374524</x:v>
      </x:c>
      <x:c r="E167" t="str">
        <x:v>negative</x:v>
      </x:c>
    </x:row>
    <x:row r="168">
      <x:c r="A168" t="str">
        <x:v>C19</x:v>
      </x:c>
      <x:c r="B168" t="str">
        <x:v>income_index</x:v>
      </x:c>
      <x:c r="C168" s="34" t="n">
        <x:v>116.32</x:v>
      </x:c>
      <x:c r="D168" s="34" t="n">
        <x:v>-0.26591742077758207</x:v>
      </x:c>
      <x:c r="E168" t="str">
        <x:v>negative</x:v>
      </x:c>
    </x:row>
    <x:row r="169">
      <x:c r="A169" t="str">
        <x:v>C19</x:v>
      </x:c>
      <x:c r="B169" t="str">
        <x:v>commercial_index</x:v>
      </x:c>
      <x:c r="C169" s="34" t="n">
        <x:v>0.771287</x:v>
      </x:c>
      <x:c r="D169" s="34" t="n">
        <x:v>-0.05760300167667145</x:v>
      </x:c>
      <x:c r="E169" t="str">
        <x:v>negative</x:v>
      </x:c>
    </x:row>
    <x:row r="170">
      <x:c r="A170" t="str">
        <x:v>C19</x:v>
      </x:c>
      <x:c r="B170" t="str">
        <x:v>transit_index</x:v>
      </x:c>
      <x:c r="C170" s="34" t="n">
        <x:v>0.704129</x:v>
      </x:c>
      <x:c r="D170" s="34" t="n">
        <x:v>-0.5447235846518907</x:v>
      </x:c>
      <x:c r="E170" t="str">
        <x:v>negative</x:v>
      </x:c>
    </x:row>
    <x:row r="171">
      <x:c r="A171" t="str">
        <x:v>C19</x:v>
      </x:c>
      <x:c r="B171" t="str">
        <x:v>poi_density_2km</x:v>
      </x:c>
      <x:c r="C171" s="34" t="n">
        <x:v>0</x:v>
      </x:c>
      <x:c r="D171" s="34" t="n">
        <x:v>-0.15449597554587305</x:v>
      </x:c>
      <x:c r="E171" t="str">
        <x:v>negative</x:v>
      </x:c>
    </x:row>
    <x:row r="172">
      <x:c r="A172" t="str">
        <x:v>C19</x:v>
      </x:c>
      <x:c r="B172" t="str">
        <x:v>competitor_density_3km</x:v>
      </x:c>
      <x:c r="C172" s="34" t="n">
        <x:v>0</x:v>
      </x:c>
      <x:c r="D172" s="34" t="n">
        <x:v>0.3378245843854528</x:v>
      </x:c>
      <x:c r="E172" t="str">
        <x:v>positive</x:v>
      </x:c>
    </x:row>
    <x:row r="173">
      <x:c r="A173" t="str">
        <x:v>C19</x:v>
      </x:c>
      <x:c r="B173" t="str">
        <x:v>rent_try_sqm_month</x:v>
      </x:c>
      <x:c r="C173" s="34" t="n">
        <x:v>1887.21</x:v>
      </x:c>
      <x:c r="D173" s="34" t="n">
        <x:v>-0.037616135637173656</x:v>
      </x:c>
      <x:c r="E173" t="str">
        <x:v>negative</x:v>
      </x:c>
    </x:row>
    <x:row r="174">
      <x:c r="A174" t="str">
        <x:v>C19</x:v>
      </x:c>
      <x:c r="B174" t="str">
        <x:v>cannibalization_risk</x:v>
      </x:c>
      <x:c r="C174" s="34" t="n">
        <x:v>0.002294</x:v>
      </x:c>
      <x:c r="D174" s="34" t="n">
        <x:v>-0.6110842189182808</x:v>
      </x:c>
      <x:c r="E174" t="str">
        <x:v>negative</x:v>
      </x:c>
    </x:row>
    <x:row r="175">
      <x:c r="A175" t="str">
        <x:v>C19</x:v>
      </x:c>
      <x:c r="B175" t="str">
        <x:v>walkability_index</x:v>
      </x:c>
      <x:c r="C175" s="34" t="n">
        <x:v>0.642932</x:v>
      </x:c>
      <x:c r="D175" s="34" t="n">
        <x:v>-4.412406139961137</x:v>
      </x:c>
      <x:c r="E175" t="str">
        <x:v>negative</x:v>
      </x:c>
    </x:row>
    <x:row r="176">
      <x:c r="A176" t="str">
        <x:v>C20</x:v>
      </x:c>
      <x:c r="B176" t="str">
        <x:v>accessible_pop_drive_10</x:v>
      </x:c>
      <x:c r="C176" s="34" t="n">
        <x:v>286548</x:v>
      </x:c>
      <x:c r="D176" s="34" t="n">
        <x:v>-1.4189181167804017</x:v>
      </x:c>
      <x:c r="E176" t="str">
        <x:v>negative</x:v>
      </x:c>
    </x:row>
    <x:row r="177">
      <x:c r="A177" t="str">
        <x:v>C20</x:v>
      </x:c>
      <x:c r="B177" t="str">
        <x:v>income_index</x:v>
      </x:c>
      <x:c r="C177" s="34" t="n">
        <x:v>117.421</x:v>
      </x:c>
      <x:c r="D177" s="34" t="n">
        <x:v>-0.30690960215460256</x:v>
      </x:c>
      <x:c r="E177" t="str">
        <x:v>negative</x:v>
      </x:c>
    </x:row>
    <x:row r="178">
      <x:c r="A178" t="str">
        <x:v>C20</x:v>
      </x:c>
      <x:c r="B178" t="str">
        <x:v>commercial_index</x:v>
      </x:c>
      <x:c r="C178" s="34" t="n">
        <x:v>0.800544</x:v>
      </x:c>
      <x:c r="D178" s="34" t="n">
        <x:v>0.08089664637805352</x:v>
      </x:c>
      <x:c r="E178" t="str">
        <x:v>positive</x:v>
      </x:c>
    </x:row>
    <x:row r="179">
      <x:c r="A179" t="str">
        <x:v>C20</x:v>
      </x:c>
      <x:c r="B179" t="str">
        <x:v>transit_index</x:v>
      </x:c>
      <x:c r="C179" s="34" t="n">
        <x:v>0.689529</x:v>
      </x:c>
      <x:c r="D179" s="34" t="n">
        <x:v>-0.510658225740547</x:v>
      </x:c>
      <x:c r="E179" t="str">
        <x:v>negative</x:v>
      </x:c>
    </x:row>
    <x:row r="180">
      <x:c r="A180" t="str">
        <x:v>C20</x:v>
      </x:c>
      <x:c r="B180" t="str">
        <x:v>poi_density_2km</x:v>
      </x:c>
      <x:c r="C180" s="34" t="n">
        <x:v>1</x:v>
      </x:c>
      <x:c r="D180" s="34" t="n">
        <x:v>0.09240045529049457</x:v>
      </x:c>
      <x:c r="E180" t="str">
        <x:v>positive</x:v>
      </x:c>
    </x:row>
    <x:row r="181">
      <x:c r="A181" t="str">
        <x:v>C20</x:v>
      </x:c>
      <x:c r="B181" t="str">
        <x:v>competitor_density_3km</x:v>
      </x:c>
      <x:c r="C181" s="34" t="n">
        <x:v>0</x:v>
      </x:c>
      <x:c r="D181" s="34" t="n">
        <x:v>0.5585704711429229</x:v>
      </x:c>
      <x:c r="E181" t="str">
        <x:v>positive</x:v>
      </x:c>
    </x:row>
    <x:row r="182">
      <x:c r="A182" t="str">
        <x:v>C20</x:v>
      </x:c>
      <x:c r="B182" t="str">
        <x:v>rent_try_sqm_month</x:v>
      </x:c>
      <x:c r="C182" s="34" t="n">
        <x:v>1943.77</x:v>
      </x:c>
      <x:c r="D182" s="34" t="n">
        <x:v>-0.03793966607246512</x:v>
      </x:c>
      <x:c r="E182" t="str">
        <x:v>negative</x:v>
      </x:c>
    </x:row>
    <x:row r="183">
      <x:c r="A183" t="str">
        <x:v>C20</x:v>
      </x:c>
      <x:c r="B183" t="str">
        <x:v>cannibalization_risk</x:v>
      </x:c>
      <x:c r="C183" s="34" t="n">
        <x:v>0.000437</x:v>
      </x:c>
      <x:c r="D183" s="34" t="n">
        <x:v>0.23547215663435755</x:v>
      </x:c>
      <x:c r="E183" t="str">
        <x:v>positive</x:v>
      </x:c>
    </x:row>
    <x:row r="184">
      <x:c r="A184" t="str">
        <x:v>C20</x:v>
      </x:c>
      <x:c r="B184" t="str">
        <x:v>walkability_index</x:v>
      </x:c>
      <x:c r="C184" s="34" t="n">
        <x:v>0.78863</x:v>
      </x:c>
      <x:c r="D184" s="34" t="n">
        <x:v>1.4054958870880678</x:v>
      </x:c>
      <x:c r="E184" t="str">
        <x:v>positive</x:v>
      </x:c>
    </x:row>
    <x:row r="185">
      <x:c r="A185" t="str">
        <x:v>C21</x:v>
      </x:c>
      <x:c r="B185" t="str">
        <x:v>accessible_pop_drive_10</x:v>
      </x:c>
      <x:c r="C185" s="34" t="n">
        <x:v>112734</x:v>
      </x:c>
      <x:c r="D185" s="34" t="n">
        <x:v>-50.646308039814</x:v>
      </x:c>
      <x:c r="E185" t="str">
        <x:v>negative</x:v>
      </x:c>
    </x:row>
    <x:row r="186">
      <x:c r="A186" t="str">
        <x:v>C21</x:v>
      </x:c>
      <x:c r="B186" t="str">
        <x:v>income_index</x:v>
      </x:c>
      <x:c r="C186" s="34" t="n">
        <x:v>125.897</x:v>
      </x:c>
      <x:c r="D186" s="34" t="n">
        <x:v>0.14256225721626975</x:v>
      </x:c>
      <x:c r="E186" t="str">
        <x:v>positive</x:v>
      </x:c>
    </x:row>
    <x:row r="187">
      <x:c r="A187" t="str">
        <x:v>C21</x:v>
      </x:c>
      <x:c r="B187" t="str">
        <x:v>commercial_index</x:v>
      </x:c>
      <x:c r="C187" s="34" t="n">
        <x:v>0.811971</x:v>
      </x:c>
      <x:c r="D187" s="34" t="n">
        <x:v>-0.14222845276282556</x:v>
      </x:c>
      <x:c r="E187" t="str">
        <x:v>negative</x:v>
      </x:c>
    </x:row>
    <x:row r="188">
      <x:c r="A188" t="str">
        <x:v>C21</x:v>
      </x:c>
      <x:c r="B188" t="str">
        <x:v>transit_index</x:v>
      </x:c>
      <x:c r="C188" s="34" t="n">
        <x:v>0.767082</x:v>
      </x:c>
      <x:c r="D188" s="34" t="n">
        <x:v>0.2830592634888388</x:v>
      </x:c>
      <x:c r="E188" t="str">
        <x:v>positive</x:v>
      </x:c>
    </x:row>
    <x:row r="189">
      <x:c r="A189" t="str">
        <x:v>C21</x:v>
      </x:c>
      <x:c r="B189" t="str">
        <x:v>poi_density_2km</x:v>
      </x:c>
      <x:c r="C189" s="34" t="n">
        <x:v>0</x:v>
      </x:c>
      <x:c r="D189" s="34" t="n">
        <x:v>-0.16045671010966472</x:v>
      </x:c>
      <x:c r="E189" t="str">
        <x:v>negative</x:v>
      </x:c>
    </x:row>
    <x:row r="190">
      <x:c r="A190" t="str">
        <x:v>C21</x:v>
      </x:c>
      <x:c r="B190" t="str">
        <x:v>competitor_density_3km</x:v>
      </x:c>
      <x:c r="C190" s="34" t="n">
        <x:v>0</x:v>
      </x:c>
      <x:c r="D190" s="34" t="n">
        <x:v>0.3398302250690087</x:v>
      </x:c>
      <x:c r="E190" t="str">
        <x:v>positive</x:v>
      </x:c>
    </x:row>
    <x:row r="191">
      <x:c r="A191" t="str">
        <x:v>C21</x:v>
      </x:c>
      <x:c r="B191" t="str">
        <x:v>rent_try_sqm_month</x:v>
      </x:c>
      <x:c r="C191" s="34" t="n">
        <x:v>2086.08</x:v>
      </x:c>
      <x:c r="D191" s="34" t="n">
        <x:v>-0.045514536514300305</x:v>
      </x:c>
      <x:c r="E191" t="str">
        <x:v>negative</x:v>
      </x:c>
    </x:row>
    <x:row r="192">
      <x:c r="A192" t="str">
        <x:v>C21</x:v>
      </x:c>
      <x:c r="B192" t="str">
        <x:v>cannibalization_risk</x:v>
      </x:c>
      <x:c r="C192" s="34" t="n">
        <x:v>0.000377</x:v>
      </x:c>
      <x:c r="D192" s="34" t="n">
        <x:v>-0.7884694898885728</x:v>
      </x:c>
      <x:c r="E192" t="str">
        <x:v>negative</x:v>
      </x:c>
    </x:row>
    <x:row r="193">
      <x:c r="A193" t="str">
        <x:v>C21</x:v>
      </x:c>
      <x:c r="B193" t="str">
        <x:v>walkability_index</x:v>
      </x:c>
      <x:c r="C193" s="34" t="n">
        <x:v>0.564545</x:v>
      </x:c>
      <x:c r="D193" s="34" t="n">
        <x:v>-6.935676335659843</x:v>
      </x:c>
      <x:c r="E193" t="str">
        <x:v>negative</x:v>
      </x:c>
    </x:row>
    <x:row r="194">
      <x:c r="A194" t="str">
        <x:v>C22</x:v>
      </x:c>
      <x:c r="B194" t="str">
        <x:v>accessible_pop_drive_10</x:v>
      </x:c>
      <x:c r="C194" s="34" t="n">
        <x:v>19866</x:v>
      </x:c>
      <x:c r="D194" s="34" t="n">
        <x:v>-68.37790382306571</x:v>
      </x:c>
      <x:c r="E194" t="str">
        <x:v>negative</x:v>
      </x:c>
    </x:row>
    <x:row r="195">
      <x:c r="A195" t="str">
        <x:v>C22</x:v>
      </x:c>
      <x:c r="B195" t="str">
        <x:v>income_index</x:v>
      </x:c>
      <x:c r="C195" s="34" t="n">
        <x:v>120.751</x:v>
      </x:c>
      <x:c r="D195" s="34" t="n">
        <x:v>-0.14609452475379095</x:v>
      </x:c>
      <x:c r="E195" t="str">
        <x:v>negative</x:v>
      </x:c>
    </x:row>
    <x:row r="196">
      <x:c r="A196" t="str">
        <x:v>C22</x:v>
      </x:c>
      <x:c r="B196" t="str">
        <x:v>commercial_index</x:v>
      </x:c>
      <x:c r="C196" s="34" t="n">
        <x:v>0.775618</x:v>
      </x:c>
      <x:c r="D196" s="34" t="n">
        <x:v>-0.054988745939526414</x:v>
      </x:c>
      <x:c r="E196" t="str">
        <x:v>negative</x:v>
      </x:c>
    </x:row>
    <x:row r="197">
      <x:c r="A197" t="str">
        <x:v>C22</x:v>
      </x:c>
      <x:c r="B197" t="str">
        <x:v>transit_index</x:v>
      </x:c>
      <x:c r="C197" s="34" t="n">
        <x:v>0.693113</x:v>
      </x:c>
      <x:c r="D197" s="34" t="n">
        <x:v>-0.6719933219503794</x:v>
      </x:c>
      <x:c r="E197" t="str">
        <x:v>negative</x:v>
      </x:c>
    </x:row>
    <x:row r="198">
      <x:c r="A198" t="str">
        <x:v>C22</x:v>
      </x:c>
      <x:c r="B198" t="str">
        <x:v>poi_density_2km</x:v>
      </x:c>
      <x:c r="C198" s="34" t="n">
        <x:v>0</x:v>
      </x:c>
      <x:c r="D198" s="34" t="n">
        <x:v>-0.17840035109655783</x:v>
      </x:c>
      <x:c r="E198" t="str">
        <x:v>negative</x:v>
      </x:c>
    </x:row>
    <x:row r="199">
      <x:c r="A199" t="str">
        <x:v>C22</x:v>
      </x:c>
      <x:c r="B199" t="str">
        <x:v>competitor_density_3km</x:v>
      </x:c>
      <x:c r="C199" s="34" t="n">
        <x:v>0</x:v>
      </x:c>
      <x:c r="D199" s="34" t="n">
        <x:v>0.33847275057096354</x:v>
      </x:c>
      <x:c r="E199" t="str">
        <x:v>positive</x:v>
      </x:c>
    </x:row>
    <x:row r="200">
      <x:c r="A200" t="str">
        <x:v>C22</x:v>
      </x:c>
      <x:c r="B200" t="str">
        <x:v>rent_try_sqm_month</x:v>
      </x:c>
      <x:c r="C200" s="34" t="n">
        <x:v>1925.65</x:v>
      </x:c>
      <x:c r="D200" s="34" t="n">
        <x:v>-0.08459539590149916</x:v>
      </x:c>
      <x:c r="E200" t="str">
        <x:v>negative</x:v>
      </x:c>
    </x:row>
    <x:row r="201">
      <x:c r="A201" t="str">
        <x:v>C22</x:v>
      </x:c>
      <x:c r="B201" t="str">
        <x:v>cannibalization_risk</x:v>
      </x:c>
      <x:c r="C201" s="34" t="n">
        <x:v>0</x:v>
      </x:c>
      <x:c r="D201" s="34" t="n">
        <x:v>-1.0987205204590216</x:v>
      </x:c>
      <x:c r="E201" t="str">
        <x:v>negative</x:v>
      </x:c>
    </x:row>
    <x:row r="202">
      <x:c r="A202" t="str">
        <x:v>C22</x:v>
      </x:c>
      <x:c r="B202" t="str">
        <x:v>walkability_index</x:v>
      </x:c>
      <x:c r="C202" s="34" t="n">
        <x:v>0.385803</x:v>
      </x:c>
      <x:c r="D202" s="34" t="n">
        <x:v>-17.304370050234553</x:v>
      </x:c>
      <x:c r="E202" t="str">
        <x:v>negative</x:v>
      </x:c>
    </x:row>
    <x:row r="203">
      <x:c r="A203" t="str">
        <x:v>C23</x:v>
      </x:c>
      <x:c r="B203" t="str">
        <x:v>accessible_pop_drive_10</x:v>
      </x:c>
      <x:c r="C203" s="34" t="n">
        <x:v>243139</x:v>
      </x:c>
      <x:c r="D203" s="34" t="n">
        <x:v>-10.374719136520683</x:v>
      </x:c>
      <x:c r="E203" t="str">
        <x:v>negative</x:v>
      </x:c>
    </x:row>
    <x:row r="204">
      <x:c r="A204" t="str">
        <x:v>C23</x:v>
      </x:c>
      <x:c r="B204" t="str">
        <x:v>income_index</x:v>
      </x:c>
      <x:c r="C204" s="34" t="n">
        <x:v>131.756</x:v>
      </x:c>
      <x:c r="D204" s="34" t="n">
        <x:v>0.18560389602881028</x:v>
      </x:c>
      <x:c r="E204" t="str">
        <x:v>positive</x:v>
      </x:c>
    </x:row>
    <x:row r="205">
      <x:c r="A205" t="str">
        <x:v>C23</x:v>
      </x:c>
      <x:c r="B205" t="str">
        <x:v>commercial_index</x:v>
      </x:c>
      <x:c r="C205" s="34" t="n">
        <x:v>0.857559</x:v>
      </x:c>
      <x:c r="D205" s="34" t="n">
        <x:v>-0.12852196081686132</x:v>
      </x:c>
      <x:c r="E205" t="str">
        <x:v>negative</x:v>
      </x:c>
    </x:row>
    <x:row r="206">
      <x:c r="A206" t="str">
        <x:v>C23</x:v>
      </x:c>
      <x:c r="B206" t="str">
        <x:v>transit_index</x:v>
      </x:c>
      <x:c r="C206" s="34" t="n">
        <x:v>0.836918</x:v>
      </x:c>
      <x:c r="D206" s="34" t="n">
        <x:v>-0.025209495019462593</x:v>
      </x:c>
      <x:c r="E206" t="str">
        <x:v>negative</x:v>
      </x:c>
    </x:row>
    <x:row r="207">
      <x:c r="A207" t="str">
        <x:v>C23</x:v>
      </x:c>
      <x:c r="B207" t="str">
        <x:v>poi_density_2km</x:v>
      </x:c>
      <x:c r="C207" s="34" t="n">
        <x:v>0</x:v>
      </x:c>
      <x:c r="D207" s="34" t="n">
        <x:v>-0.14792619324548428</x:v>
      </x:c>
      <x:c r="E207" t="str">
        <x:v>negative</x:v>
      </x:c>
    </x:row>
    <x:row r="208">
      <x:c r="A208" t="str">
        <x:v>C23</x:v>
      </x:c>
      <x:c r="B208" t="str">
        <x:v>competitor_density_3km</x:v>
      </x:c>
      <x:c r="C208" s="34" t="n">
        <x:v>0</x:v>
      </x:c>
      <x:c r="D208" s="34" t="n">
        <x:v>0.3576088960006425</x:v>
      </x:c>
      <x:c r="E208" t="str">
        <x:v>positive</x:v>
      </x:c>
    </x:row>
    <x:row r="209">
      <x:c r="A209" t="str">
        <x:v>C23</x:v>
      </x:c>
      <x:c r="B209" t="str">
        <x:v>rent_try_sqm_month</x:v>
      </x:c>
      <x:c r="C209" s="34" t="n">
        <x:v>2128.88</x:v>
      </x:c>
      <x:c r="D209" s="34" t="n">
        <x:v>-0.10051567740962843</x:v>
      </x:c>
      <x:c r="E209" t="str">
        <x:v>negative</x:v>
      </x:c>
    </x:row>
    <x:row r="210">
      <x:c r="A210" t="str">
        <x:v>C23</x:v>
      </x:c>
      <x:c r="B210" t="str">
        <x:v>cannibalization_risk</x:v>
      </x:c>
      <x:c r="C210" s="34" t="n">
        <x:v>0.005367</x:v>
      </x:c>
      <x:c r="D210" s="34" t="n">
        <x:v>-0.030204103342647233</x:v>
      </x:c>
      <x:c r="E210" t="str">
        <x:v>negative</x:v>
      </x:c>
    </x:row>
    <x:row r="211">
      <x:c r="A211" t="str">
        <x:v>C23</x:v>
      </x:c>
      <x:c r="B211" t="str">
        <x:v>walkability_index</x:v>
      </x:c>
      <x:c r="C211" s="34" t="n">
        <x:v>0.716488</x:v>
      </x:c>
      <x:c r="D211" s="34" t="n">
        <x:v>-5.1695420779463035</x:v>
      </x:c>
      <x:c r="E211" t="str">
        <x:v>negative</x:v>
      </x:c>
    </x:row>
    <x:row r="212">
      <x:c r="A212" t="str">
        <x:v>C24</x:v>
      </x:c>
      <x:c r="B212" t="str">
        <x:v>accessible_pop_drive_10</x:v>
      </x:c>
      <x:c r="C212" s="34" t="n">
        <x:v>396396</x:v>
      </x:c>
      <x:c r="D212" s="34" t="n">
        <x:v>17.406748726362398</x:v>
      </x:c>
      <x:c r="E212" t="str">
        <x:v>positive</x:v>
      </x:c>
    </x:row>
    <x:row r="213">
      <x:c r="A213" t="str">
        <x:v>C24</x:v>
      </x:c>
      <x:c r="B213" t="str">
        <x:v>income_index</x:v>
      </x:c>
      <x:c r="C213" s="34" t="n">
        <x:v>130.78</x:v>
      </x:c>
      <x:c r="D213" s="34" t="n">
        <x:v>0.13768467976350568</x:v>
      </x:c>
      <x:c r="E213" t="str">
        <x:v>positive</x:v>
      </x:c>
    </x:row>
    <x:row r="214">
      <x:c r="A214" t="str">
        <x:v>C24</x:v>
      </x:c>
      <x:c r="B214" t="str">
        <x:v>commercial_index</x:v>
      </x:c>
      <x:c r="C214" s="34" t="n">
        <x:v>0.87734</x:v>
      </x:c>
      <x:c r="D214" s="34" t="n">
        <x:v>-0.002705160572674814</x:v>
      </x:c>
      <x:c r="E214" t="str">
        <x:v>negative</x:v>
      </x:c>
    </x:row>
    <x:row r="215">
      <x:c r="A215" t="str">
        <x:v>C24</x:v>
      </x:c>
      <x:c r="B215" t="str">
        <x:v>transit_index</x:v>
      </x:c>
      <x:c r="C215" s="34" t="n">
        <x:v>0.830637</x:v>
      </x:c>
      <x:c r="D215" s="34" t="n">
        <x:v>0.25325916980889757</x:v>
      </x:c>
      <x:c r="E215" t="str">
        <x:v>positive</x:v>
      </x:c>
    </x:row>
    <x:row r="216">
      <x:c r="A216" t="str">
        <x:v>C24</x:v>
      </x:c>
      <x:c r="B216" t="str">
        <x:v>poi_density_2km</x:v>
      </x:c>
      <x:c r="C216" s="34" t="n">
        <x:v>9</x:v>
      </x:c>
      <x:c r="D216" s="34" t="n">
        <x:v>0.14101920824132766</x:v>
      </x:c>
      <x:c r="E216" t="str">
        <x:v>positive</x:v>
      </x:c>
    </x:row>
    <x:row r="217">
      <x:c r="A217" t="str">
        <x:v>C24</x:v>
      </x:c>
      <x:c r="B217" t="str">
        <x:v>competitor_density_3km</x:v>
      </x:c>
      <x:c r="C217" s="34" t="n">
        <x:v>4</x:v>
      </x:c>
      <x:c r="D217" s="34" t="n">
        <x:v>0.4143138640541885</x:v>
      </x:c>
      <x:c r="E217" t="str">
        <x:v>positive</x:v>
      </x:c>
    </x:row>
    <x:row r="218">
      <x:c r="A218" t="str">
        <x:v>C24</x:v>
      </x:c>
      <x:c r="B218" t="str">
        <x:v>rent_try_sqm_month</x:v>
      </x:c>
      <x:c r="C218" s="34" t="n">
        <x:v>2209.5</x:v>
      </x:c>
      <x:c r="D218" s="34" t="n">
        <x:v>0.031111743617880838</x:v>
      </x:c>
      <x:c r="E218" t="str">
        <x:v>positive</x:v>
      </x:c>
    </x:row>
    <x:row r="219">
      <x:c r="A219" t="str">
        <x:v>C24</x:v>
      </x:c>
      <x:c r="B219" t="str">
        <x:v>cannibalization_risk</x:v>
      </x:c>
      <x:c r="C219" s="34" t="n">
        <x:v>0.010471</x:v>
      </x:c>
      <x:c r="D219" s="34" t="n">
        <x:v>-1.1575905860771953</x:v>
      </x:c>
      <x:c r="E219" t="str">
        <x:v>negative</x:v>
      </x:c>
    </x:row>
    <x:row r="220">
      <x:c r="A220" t="str">
        <x:v>C24</x:v>
      </x:c>
      <x:c r="B220" t="str">
        <x:v>walkability_index</x:v>
      </x:c>
      <x:c r="C220" s="34" t="n">
        <x:v>0.95742</x:v>
      </x:c>
      <x:c r="D220" s="34" t="n">
        <x:v>3.096725033951708</x:v>
      </x:c>
      <x:c r="E220" t="str">
        <x:v>positive</x:v>
      </x:c>
    </x:row>
  </x:sheetData>
  <x:mergeCells>
    <x:mergeCell ref="A1:E1"/>
    <x:mergeCell ref="A2:E2"/>
  </x:mergeCells>
  <x:conditionalFormatting sqref="D5:D220">
    <x:cfRule type="colorScale" priority="1">
      <x:colorScale>
        <x:cfvo type="min"/>
        <x:cfvo type="percentile" val="50"/>
        <x:cfvo type="max"/>
        <x:color rgb="FFE76F51"/>
        <x:color rgb="FFF7F3E9"/>
        <x:color rgb="FF2A9D8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4967f042e0f42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6" hidden="0" customWidth="1"/>
    <x:col min="3" max="3" width="27" hidden="0" customWidth="1"/>
    <x:col min="4" max="4" width="27" hidden="0" customWidth="1"/>
    <x:col min="5" max="5" width="27" hidden="0" customWidth="1"/>
    <x:col min="6" max="6" width="58" hidden="0" customWidth="1"/>
  </x:cols>
  <x:sheetData>
    <x:row r="1" ht="34" customHeight="1">
      <x:c r="A1" s="3" t="str">
        <x:v>Sources, Licenses &amp; Governance</x:v>
      </x:c>
      <x:c r="B1" s="3" t="str">
        <x:v>Sources, Licenses &amp; Governance</x:v>
      </x:c>
      <x:c r="C1" s="3" t="str">
        <x:v>Sources, Licenses &amp; Governance</x:v>
      </x:c>
      <x:c r="D1" s="3" t="str">
        <x:v>Sources, Licenses &amp; Governance</x:v>
      </x:c>
      <x:c r="E1" s="3" t="str">
        <x:v>Sources, Licenses &amp; Governance</x:v>
      </x:c>
      <x:c r="F1" s="3" t="str">
        <x:v>Sources, Licenses &amp; Governance</x:v>
      </x:c>
    </x:row>
    <x:row r="2" ht="28" customHeight="1">
      <x:c r="A2" s="6" t="str">
        <x:v>No personal data. Real coordinates frame the scenario; all commercial outcomes are synthetic.</x:v>
      </x:c>
      <x:c r="B2" s="6" t="str">
        <x:v>No personal data. Real coordinates frame the scenario; all commercial outcomes are synthetic.</x:v>
      </x:c>
      <x:c r="C2" s="6" t="str">
        <x:v>No personal data. Real coordinates frame the scenario; all commercial outcomes are synthetic.</x:v>
      </x:c>
      <x:c r="D2" s="6" t="str">
        <x:v>No personal data. Real coordinates frame the scenario; all commercial outcomes are synthetic.</x:v>
      </x:c>
      <x:c r="E2" s="6" t="str">
        <x:v>No personal data. Real coordinates frame the scenario; all commercial outcomes are synthetic.</x:v>
      </x:c>
      <x:c r="F2" s="6" t="str">
        <x:v>No personal data. Real coordinates frame the scenario; all commercial outcomes are synthetic.</x:v>
      </x:c>
    </x:row>
    <x:row r="4" ht="30" customHeight="1">
      <x:c r="A4" s="18" t="str">
        <x:v>Asset</x:v>
      </x:c>
      <x:c r="B4" s="19" t="str">
        <x:v>Use</x:v>
      </x:c>
      <x:c r="C4" s="19" t="str">
        <x:v>Origin</x:v>
      </x:c>
      <x:c r="D4" s="19" t="str">
        <x:v>License</x:v>
      </x:c>
      <x:c r="E4" s="19" t="str">
        <x:v>Access Date</x:v>
      </x:c>
      <x:c r="F4" s="20" t="str">
        <x:v>URL / Note</x:v>
      </x:c>
    </x:row>
    <x:row r="5">
      <x:c r="A5" s="24" t="str">
        <x:v>Commercial features and performance</x:v>
      </x:c>
      <x:c r="B5" s="24" t="str">
        <x:v>All numeric business outcomes</x:v>
      </x:c>
      <x:c r="C5" s="24" t="str">
        <x:v>Deterministic generator</x:v>
      </x:c>
      <x:c r="D5" s="24" t="str">
        <x:v>Project MIT code; synthetic outputs</x:v>
      </x:c>
      <x:c r="E5" s="24" t="str">
        <x:v>2026-07-29</x:v>
      </x:c>
      <x:c r="F5" s="24" t="str">
        <x:v>Seed 20260729</x:v>
      </x:c>
    </x:row>
    <x:row r="6">
      <x:c r="A6" s="24" t="str">
        <x:v>Candidate and store coordinates</x:v>
      </x:c>
      <x:c r="B6" s="24" t="str">
        <x:v>Scenario anchors</x:v>
      </x:c>
      <x:c r="C6" s="24" t="str">
        <x:v>Manually curated approximate public-place coordinates</x:v>
      </x:c>
      <x:c r="D6" s="24" t="str">
        <x:v>Project assumption</x:v>
      </x:c>
      <x:c r="E6" s="24" t="str">
        <x:v>2026-07-29</x:v>
      </x:c>
      <x:c r="F6" s="24" t="str">
        <x:v>Not an authoritative address register</x:v>
      </x:c>
    </x:row>
    <x:row r="7">
      <x:c r="A7" s="24" t="str">
        <x:v>Base map tiles</x:v>
      </x:c>
      <x:c r="B7" s="24" t="str">
        <x:v>Interactive HTML context only</x:v>
      </x:c>
      <x:c r="C7" s="24" t="str">
        <x:v>OpenStreetMap contributors</x:v>
      </x:c>
      <x:c r="D7" s="24" t="str">
        <x:v>ODbL attribution</x:v>
      </x:c>
      <x:c r="E7" s="24" t="str">
        <x:v>2026-07-29</x:v>
      </x:c>
      <x:c r="F7" s="24" t="str">
        <x:v>https://www.openstreetmap.org/copyright</x:v>
      </x:c>
    </x:row>
    <x:row r="8">
      <x:c r="A8" s="24" t="str">
        <x:v>H3</x:v>
      </x:c>
      <x:c r="B8" s="24" t="str">
        <x:v>Microzone indexing</x:v>
      </x:c>
      <x:c r="C8" s="24" t="str">
        <x:v>Uber H3</x:v>
      </x:c>
      <x:c r="D8" s="24" t="str">
        <x:v>Apache-2.0</x:v>
      </x:c>
      <x:c r="E8" s="24" t="str">
        <x:v>2026-07-29</x:v>
      </x:c>
      <x:c r="F8" s="24" t="str">
        <x:v>https://h3geo.org/docs/</x:v>
      </x:c>
    </x:row>
    <x:row r="9">
      <x:c r="A9" s="24" t="str">
        <x:v>GeoPandas</x:v>
      </x:c>
      <x:c r="B9" s="24" t="str">
        <x:v>Spatial processing</x:v>
      </x:c>
      <x:c r="C9" s="24" t="str">
        <x:v>GeoPandas</x:v>
      </x:c>
      <x:c r="D9" s="24" t="str">
        <x:v>BSD-3-Clause</x:v>
      </x:c>
      <x:c r="E9" s="24" t="str">
        <x:v>2026-07-29</x:v>
      </x:c>
      <x:c r="F9" s="24" t="str">
        <x:v>https://geopandas.org/en/stable/about.html</x:v>
      </x:c>
    </x:row>
    <x:row r="10">
      <x:c r="A10" s="24" t="str">
        <x:v>Shapely / GEOS</x:v>
      </x:c>
      <x:c r="B10" s="24" t="str">
        <x:v>Planar geometry</x:v>
      </x:c>
      <x:c r="C10" s="24" t="str">
        <x:v>Shapely</x:v>
      </x:c>
      <x:c r="D10" s="24" t="str">
        <x:v>BSD-3-Clause / LGPL-2.1</x:v>
      </x:c>
      <x:c r="E10" s="24" t="str">
        <x:v>2026-07-29</x:v>
      </x:c>
      <x:c r="F10" s="24" t="str">
        <x:v>https://shapely.readthedocs.io/</x:v>
      </x:c>
    </x:row>
    <x:row r="11">
      <x:c r="A11" s="24" t="str">
        <x:v>Power BI PBIP guidance</x:v>
      </x:c>
      <x:c r="B11" s="24" t="str">
        <x:v>Project scaffold</x:v>
      </x:c>
      <x:c r="C11" s="24" t="str">
        <x:v>Microsoft Learn</x:v>
      </x:c>
      <x:c r="D11" s="24" t="str">
        <x:v>Documentation terms</x:v>
      </x:c>
      <x:c r="E11" s="24" t="str">
        <x:v>2026-07-29</x:v>
      </x:c>
      <x:c r="F11" s="24" t="str">
        <x:v>https://learn.microsoft.com/power-bi/developer/projects/projects-overview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3e9bb5e214074d35"/>
</x:worksheet>
</file>